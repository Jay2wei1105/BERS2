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ay/Downloads/"/>
    </mc:Choice>
  </mc:AlternateContent>
  <xr:revisionPtr revIDLastSave="0" documentId="13_ncr:1_{056BCD53-9A43-C04F-ACE1-98D1B3CD1B0D}" xr6:coauthVersionLast="47" xr6:coauthVersionMax="47" xr10:uidLastSave="{00000000-0000-0000-0000-000000000000}"/>
  <bookViews>
    <workbookView xWindow="0" yWindow="500" windowWidth="28800" windowHeight="16460" activeTab="2" xr2:uid="{CA891325-FE47-5F41-8EB7-DAC3CD99D0A9}"/>
  </bookViews>
  <sheets>
    <sheet name="文件檢核表" sheetId="2" r:id="rId1"/>
    <sheet name="填表" sheetId="21" r:id="rId2"/>
    <sheet name="BERSe評估總表" sheetId="3" r:id="rId3"/>
    <sheet name="電費單資料" sheetId="9" state="hidden" r:id="rId4"/>
    <sheet name="評估分區面積與中位值年耗電量計算" sheetId="6" r:id="rId5"/>
    <sheet name="免評估分區面積與年耗電量計算" sheetId="7" r:id="rId6"/>
    <sheet name="免評估設備" sheetId="10" r:id="rId7"/>
    <sheet name="SORi" sheetId="20" state="hidden" r:id="rId8"/>
    <sheet name="建築類型" sheetId="19" state="hidden" r:id="rId9"/>
    <sheet name="城鄉係數" sheetId="18" r:id="rId10"/>
    <sheet name="分區計算參數" sheetId="14" state="hidden" r:id="rId11"/>
    <sheet name="總區域類型" sheetId="22" state="hidden" r:id="rId12"/>
    <sheet name="免評估分區計算參數" sheetId="17" r:id="rId13"/>
  </sheets>
  <definedNames>
    <definedName name="_xlnm._FilterDatabase" localSheetId="2" hidden="1">BERSe評估總表!$A$30:$H$43</definedName>
    <definedName name="_xlnm._FilterDatabase" localSheetId="10" hidden="1">分區計算參數!$A$3:$AA$3</definedName>
    <definedName name="_xlnm._FilterDatabase" localSheetId="9" hidden="1">城鄉係數!$A$1:$E$144</definedName>
    <definedName name="_xlnm._FilterDatabase" localSheetId="8" hidden="1">建築類型!$A$1:$C$13</definedName>
    <definedName name="_Hlk126661633" localSheetId="4">評估分區面積與中位值年耗電量計算!$A$26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3" l="1" a="1"/>
  <c r="A20" i="3" s="1"/>
  <c r="A21" i="3" a="1"/>
  <c r="A21" i="3"/>
  <c r="H21" i="3" s="1"/>
  <c r="A22" i="3" a="1"/>
  <c r="A22" i="3" s="1"/>
  <c r="A23" i="3" a="1"/>
  <c r="A23" i="3" s="1"/>
  <c r="A24" i="3" a="1"/>
  <c r="A24" i="3" s="1"/>
  <c r="A25" i="3" a="1"/>
  <c r="A25" i="3" s="1"/>
  <c r="H25" i="3" s="1"/>
  <c r="A26" i="3" a="1"/>
  <c r="A26" i="3" s="1"/>
  <c r="A27" i="3" a="1"/>
  <c r="A27" i="3" s="1"/>
  <c r="C21" i="3"/>
  <c r="B21" i="3"/>
  <c r="C5" i="7"/>
  <c r="C6" i="7"/>
  <c r="C7" i="7"/>
  <c r="C8" i="7"/>
  <c r="C9" i="7"/>
  <c r="C10" i="7"/>
  <c r="C11" i="7"/>
  <c r="C12" i="7"/>
  <c r="C13" i="7"/>
  <c r="C14" i="7"/>
  <c r="C15" i="7"/>
  <c r="C4" i="7"/>
  <c r="A32" i="3" a="1"/>
  <c r="A32" i="3" s="1"/>
  <c r="F5" i="7"/>
  <c r="F6" i="7"/>
  <c r="F7" i="7"/>
  <c r="F8" i="7"/>
  <c r="F9" i="7"/>
  <c r="F10" i="7"/>
  <c r="F11" i="7"/>
  <c r="F12" i="7"/>
  <c r="F13" i="7"/>
  <c r="F14" i="7"/>
  <c r="F15" i="7"/>
  <c r="F8" i="3"/>
  <c r="F44" i="3" s="1"/>
  <c r="F7" i="3"/>
  <c r="O30" i="6"/>
  <c r="O31" i="6"/>
  <c r="O32" i="6"/>
  <c r="O33" i="6"/>
  <c r="O34" i="6"/>
  <c r="O35" i="6"/>
  <c r="O36" i="6"/>
  <c r="O37" i="6"/>
  <c r="O38" i="6"/>
  <c r="O39" i="6"/>
  <c r="C9" i="20"/>
  <c r="C8" i="20"/>
  <c r="C7" i="20"/>
  <c r="C6" i="20"/>
  <c r="C5" i="20"/>
  <c r="C4" i="20"/>
  <c r="C3" i="20"/>
  <c r="C2" i="20"/>
  <c r="C10" i="20"/>
  <c r="C11" i="20"/>
  <c r="E27" i="10"/>
  <c r="E30" i="10"/>
  <c r="E32" i="10"/>
  <c r="E31" i="10"/>
  <c r="E16" i="10"/>
  <c r="E14" i="10"/>
  <c r="F17" i="17"/>
  <c r="F15" i="17"/>
  <c r="F14" i="17"/>
  <c r="F28" i="17"/>
  <c r="F16" i="17"/>
  <c r="E25" i="10"/>
  <c r="U15" i="21"/>
  <c r="U16" i="21"/>
  <c r="U17" i="21"/>
  <c r="U18" i="21"/>
  <c r="U19" i="21"/>
  <c r="U20" i="21"/>
  <c r="U21" i="21"/>
  <c r="U22" i="21"/>
  <c r="U4" i="21"/>
  <c r="U5" i="21"/>
  <c r="U6" i="21"/>
  <c r="U7" i="21"/>
  <c r="U8" i="21"/>
  <c r="U9" i="21"/>
  <c r="U10" i="21"/>
  <c r="U3" i="21"/>
  <c r="E29" i="10"/>
  <c r="E28" i="10"/>
  <c r="E13" i="10"/>
  <c r="A4" i="7"/>
  <c r="B4" i="7" s="1"/>
  <c r="A5" i="7"/>
  <c r="B5" i="7" s="1"/>
  <c r="A6" i="7"/>
  <c r="B6" i="7" s="1"/>
  <c r="A7" i="7"/>
  <c r="B7" i="7" s="1"/>
  <c r="A8" i="7"/>
  <c r="B8" i="7" s="1"/>
  <c r="A9" i="7"/>
  <c r="B9" i="7" s="1"/>
  <c r="A10" i="7"/>
  <c r="B10" i="7" s="1"/>
  <c r="A11" i="7"/>
  <c r="B11" i="7" s="1"/>
  <c r="A12" i="7"/>
  <c r="B12" i="7" s="1"/>
  <c r="A13" i="7"/>
  <c r="B13" i="7" s="1"/>
  <c r="A14" i="7"/>
  <c r="B14" i="7" s="1"/>
  <c r="A15" i="7"/>
  <c r="B15" i="7" s="1"/>
  <c r="A33" i="6"/>
  <c r="J33" i="6" s="1"/>
  <c r="A34" i="6"/>
  <c r="Q34" i="6" s="1"/>
  <c r="A35" i="6"/>
  <c r="Q35" i="6" s="1"/>
  <c r="A36" i="6"/>
  <c r="Q36" i="6" s="1"/>
  <c r="A37" i="6"/>
  <c r="Q37" i="6" s="1"/>
  <c r="A38" i="6"/>
  <c r="Q38" i="6" s="1"/>
  <c r="A39" i="6"/>
  <c r="I39" i="6" s="1"/>
  <c r="A29" i="6"/>
  <c r="C29" i="6" s="1"/>
  <c r="F29" i="6" s="1"/>
  <c r="A30" i="6"/>
  <c r="B30" i="6" s="1"/>
  <c r="B6" i="6" s="1"/>
  <c r="A31" i="6"/>
  <c r="B31" i="6" s="1"/>
  <c r="B7" i="6" s="1"/>
  <c r="A32" i="6"/>
  <c r="M32" i="6" s="1"/>
  <c r="A28" i="6"/>
  <c r="A4" i="6" s="1"/>
  <c r="E15" i="10"/>
  <c r="E17" i="10"/>
  <c r="E18" i="10"/>
  <c r="E19" i="10"/>
  <c r="E20" i="10"/>
  <c r="E21" i="10"/>
  <c r="E11" i="10"/>
  <c r="E6" i="10"/>
  <c r="E1" i="10"/>
  <c r="F6" i="3"/>
  <c r="B6" i="3"/>
  <c r="B5" i="3"/>
  <c r="B4" i="3"/>
  <c r="B3" i="3"/>
  <c r="K7" i="9"/>
  <c r="L7" i="9" s="1"/>
  <c r="K8" i="9"/>
  <c r="L8" i="9" s="1"/>
  <c r="K9" i="9"/>
  <c r="L9" i="9" s="1"/>
  <c r="K10" i="9"/>
  <c r="L10" i="9" s="1"/>
  <c r="K11" i="9"/>
  <c r="L11" i="9" s="1"/>
  <c r="K12" i="9"/>
  <c r="L12" i="9" s="1"/>
  <c r="K13" i="9"/>
  <c r="L13" i="9" s="1"/>
  <c r="K14" i="9"/>
  <c r="L14" i="9" s="1"/>
  <c r="K15" i="9"/>
  <c r="L15" i="9" s="1"/>
  <c r="K16" i="9"/>
  <c r="L16" i="9" s="1"/>
  <c r="K17" i="9"/>
  <c r="L17" i="9" s="1"/>
  <c r="K6" i="9"/>
  <c r="L6" i="9" s="1"/>
  <c r="I7" i="9"/>
  <c r="J7" i="9" s="1"/>
  <c r="I8" i="9"/>
  <c r="J8" i="9" s="1"/>
  <c r="I9" i="9"/>
  <c r="J9" i="9" s="1"/>
  <c r="I10" i="9"/>
  <c r="I11" i="9"/>
  <c r="J11" i="9" s="1"/>
  <c r="I12" i="9"/>
  <c r="J12" i="9" s="1"/>
  <c r="I13" i="9"/>
  <c r="J13" i="9" s="1"/>
  <c r="I14" i="9"/>
  <c r="J14" i="9" s="1"/>
  <c r="I15" i="9"/>
  <c r="J15" i="9" s="1"/>
  <c r="I16" i="9"/>
  <c r="I17" i="9"/>
  <c r="I6" i="9"/>
  <c r="J6" i="9" s="1"/>
  <c r="K3" i="9"/>
  <c r="I3" i="9"/>
  <c r="D3" i="9"/>
  <c r="B3" i="9"/>
  <c r="D11" i="9"/>
  <c r="E11" i="9" s="1"/>
  <c r="D10" i="9"/>
  <c r="E10" i="9" s="1"/>
  <c r="D9" i="9"/>
  <c r="E9" i="9" s="1"/>
  <c r="D8" i="9"/>
  <c r="E8" i="9" s="1"/>
  <c r="D7" i="9"/>
  <c r="E7" i="9" s="1"/>
  <c r="D6" i="9"/>
  <c r="E6" i="9" s="1"/>
  <c r="B11" i="9"/>
  <c r="C11" i="9" s="1"/>
  <c r="B10" i="9"/>
  <c r="B8" i="9"/>
  <c r="B9" i="9"/>
  <c r="C9" i="9" s="1"/>
  <c r="B7" i="9"/>
  <c r="B6" i="9"/>
  <c r="C6" i="9" s="1"/>
  <c r="C48" i="3"/>
  <c r="B71" i="18"/>
  <c r="B70" i="18"/>
  <c r="B124" i="18"/>
  <c r="B125" i="18" s="1"/>
  <c r="B5" i="18"/>
  <c r="B130" i="18"/>
  <c r="B128" i="18"/>
  <c r="B7" i="18"/>
  <c r="B8" i="18" s="1"/>
  <c r="B131" i="18"/>
  <c r="B134" i="18" s="1"/>
  <c r="B135" i="18" s="1"/>
  <c r="O4" i="3"/>
  <c r="O5" i="3"/>
  <c r="O6" i="3"/>
  <c r="O7" i="3"/>
  <c r="O8" i="3"/>
  <c r="O9" i="3"/>
  <c r="Q35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4" i="14"/>
  <c r="N80" i="14"/>
  <c r="N81" i="14" s="1"/>
  <c r="O80" i="14"/>
  <c r="O81" i="14" s="1"/>
  <c r="P80" i="14"/>
  <c r="P81" i="14" s="1"/>
  <c r="Q80" i="14"/>
  <c r="Q81" i="14" s="1"/>
  <c r="R80" i="14"/>
  <c r="R81" i="14" s="1"/>
  <c r="S80" i="14"/>
  <c r="S81" i="14" s="1"/>
  <c r="T80" i="14"/>
  <c r="T81" i="14" s="1"/>
  <c r="U80" i="14"/>
  <c r="V80" i="14"/>
  <c r="W80" i="14"/>
  <c r="X80" i="14"/>
  <c r="Y80" i="14"/>
  <c r="Z80" i="14"/>
  <c r="AA80" i="14"/>
  <c r="U81" i="14"/>
  <c r="V81" i="14"/>
  <c r="W81" i="14"/>
  <c r="X81" i="14"/>
  <c r="Y81" i="14"/>
  <c r="Z81" i="14"/>
  <c r="AA81" i="14"/>
  <c r="N83" i="14"/>
  <c r="N84" i="14" s="1"/>
  <c r="O83" i="14"/>
  <c r="O84" i="14" s="1"/>
  <c r="P83" i="14"/>
  <c r="P84" i="14" s="1"/>
  <c r="Q83" i="14"/>
  <c r="Q84" i="14" s="1"/>
  <c r="R83" i="14"/>
  <c r="R84" i="14" s="1"/>
  <c r="S83" i="14"/>
  <c r="S84" i="14" s="1"/>
  <c r="T83" i="14"/>
  <c r="T84" i="14" s="1"/>
  <c r="U83" i="14"/>
  <c r="U84" i="14" s="1"/>
  <c r="V83" i="14"/>
  <c r="V84" i="14" s="1"/>
  <c r="W83" i="14"/>
  <c r="W84" i="14" s="1"/>
  <c r="X83" i="14"/>
  <c r="X84" i="14" s="1"/>
  <c r="Y83" i="14"/>
  <c r="Y84" i="14" s="1"/>
  <c r="Z83" i="14"/>
  <c r="Z84" i="14" s="1"/>
  <c r="AA83" i="14"/>
  <c r="AA84" i="14"/>
  <c r="N86" i="14"/>
  <c r="N87" i="14" s="1"/>
  <c r="O86" i="14"/>
  <c r="O87" i="14" s="1"/>
  <c r="P86" i="14"/>
  <c r="Q86" i="14"/>
  <c r="Q87" i="14" s="1"/>
  <c r="R86" i="14"/>
  <c r="R87" i="14" s="1"/>
  <c r="S86" i="14"/>
  <c r="T86" i="14"/>
  <c r="T87" i="14" s="1"/>
  <c r="U86" i="14"/>
  <c r="V86" i="14"/>
  <c r="V87" i="14" s="1"/>
  <c r="W86" i="14"/>
  <c r="W87" i="14" s="1"/>
  <c r="X86" i="14"/>
  <c r="Y86" i="14"/>
  <c r="Y87" i="14" s="1"/>
  <c r="Z86" i="14"/>
  <c r="Z87" i="14" s="1"/>
  <c r="AA86" i="14"/>
  <c r="AA87" i="14" s="1"/>
  <c r="P87" i="14"/>
  <c r="S87" i="14"/>
  <c r="U87" i="14"/>
  <c r="X87" i="14"/>
  <c r="N89" i="14"/>
  <c r="N90" i="14" s="1"/>
  <c r="O89" i="14"/>
  <c r="P89" i="14"/>
  <c r="P90" i="14" s="1"/>
  <c r="Q89" i="14"/>
  <c r="Q90" i="14" s="1"/>
  <c r="R89" i="14"/>
  <c r="R90" i="14" s="1"/>
  <c r="S89" i="14"/>
  <c r="S90" i="14" s="1"/>
  <c r="T89" i="14"/>
  <c r="T90" i="14" s="1"/>
  <c r="U89" i="14"/>
  <c r="U90" i="14" s="1"/>
  <c r="V89" i="14"/>
  <c r="V90" i="14" s="1"/>
  <c r="W89" i="14"/>
  <c r="W90" i="14" s="1"/>
  <c r="X89" i="14"/>
  <c r="X90" i="14" s="1"/>
  <c r="Y89" i="14"/>
  <c r="Z89" i="14"/>
  <c r="Z90" i="14" s="1"/>
  <c r="AA89" i="14"/>
  <c r="AA90" i="14" s="1"/>
  <c r="O90" i="14"/>
  <c r="Y90" i="14"/>
  <c r="N92" i="14"/>
  <c r="N93" i="14" s="1"/>
  <c r="O92" i="14"/>
  <c r="O93" i="14" s="1"/>
  <c r="P92" i="14"/>
  <c r="P93" i="14" s="1"/>
  <c r="Q92" i="14"/>
  <c r="Q93" i="14" s="1"/>
  <c r="R92" i="14"/>
  <c r="R93" i="14" s="1"/>
  <c r="S92" i="14"/>
  <c r="S93" i="14" s="1"/>
  <c r="T92" i="14"/>
  <c r="T93" i="14" s="1"/>
  <c r="U92" i="14"/>
  <c r="U93" i="14" s="1"/>
  <c r="V92" i="14"/>
  <c r="V93" i="14" s="1"/>
  <c r="W92" i="14"/>
  <c r="W93" i="14" s="1"/>
  <c r="X92" i="14"/>
  <c r="X93" i="14" s="1"/>
  <c r="Y92" i="14"/>
  <c r="Y93" i="14" s="1"/>
  <c r="Z92" i="14"/>
  <c r="Z93" i="14" s="1"/>
  <c r="AA92" i="14"/>
  <c r="AA93" i="14"/>
  <c r="N95" i="14"/>
  <c r="N96" i="14" s="1"/>
  <c r="O95" i="14"/>
  <c r="O96" i="14" s="1"/>
  <c r="P95" i="14"/>
  <c r="Q95" i="14"/>
  <c r="R95" i="14"/>
  <c r="S95" i="14"/>
  <c r="T95" i="14"/>
  <c r="T96" i="14" s="1"/>
  <c r="U95" i="14"/>
  <c r="U96" i="14" s="1"/>
  <c r="V95" i="14"/>
  <c r="V96" i="14" s="1"/>
  <c r="W95" i="14"/>
  <c r="W96" i="14" s="1"/>
  <c r="X95" i="14"/>
  <c r="X96" i="14" s="1"/>
  <c r="Y95" i="14"/>
  <c r="Y96" i="14" s="1"/>
  <c r="Z95" i="14"/>
  <c r="Z96" i="14" s="1"/>
  <c r="AA95" i="14"/>
  <c r="P96" i="14"/>
  <c r="Q96" i="14"/>
  <c r="R96" i="14"/>
  <c r="S96" i="14"/>
  <c r="AA96" i="14"/>
  <c r="N98" i="14"/>
  <c r="N99" i="14" s="1"/>
  <c r="O98" i="14"/>
  <c r="O99" i="14" s="1"/>
  <c r="P98" i="14"/>
  <c r="P99" i="14" s="1"/>
  <c r="Q98" i="14"/>
  <c r="Q99" i="14" s="1"/>
  <c r="R98" i="14"/>
  <c r="R99" i="14" s="1"/>
  <c r="S98" i="14"/>
  <c r="T98" i="14"/>
  <c r="T99" i="14" s="1"/>
  <c r="U98" i="14"/>
  <c r="U99" i="14" s="1"/>
  <c r="V98" i="14"/>
  <c r="V99" i="14" s="1"/>
  <c r="W98" i="14"/>
  <c r="W99" i="14" s="1"/>
  <c r="X98" i="14"/>
  <c r="X99" i="14" s="1"/>
  <c r="Y98" i="14"/>
  <c r="Y99" i="14" s="1"/>
  <c r="Z98" i="14"/>
  <c r="Z99" i="14" s="1"/>
  <c r="AA98" i="14"/>
  <c r="S99" i="14"/>
  <c r="AA99" i="14"/>
  <c r="N101" i="14"/>
  <c r="N102" i="14" s="1"/>
  <c r="O101" i="14"/>
  <c r="O102" i="14" s="1"/>
  <c r="P101" i="14"/>
  <c r="P102" i="14" s="1"/>
  <c r="Q101" i="14"/>
  <c r="Q102" i="14" s="1"/>
  <c r="R101" i="14"/>
  <c r="S101" i="14"/>
  <c r="T101" i="14"/>
  <c r="U101" i="14"/>
  <c r="U102" i="14" s="1"/>
  <c r="V101" i="14"/>
  <c r="V102" i="14" s="1"/>
  <c r="W101" i="14"/>
  <c r="W102" i="14" s="1"/>
  <c r="X101" i="14"/>
  <c r="X102" i="14" s="1"/>
  <c r="Y101" i="14"/>
  <c r="Y102" i="14" s="1"/>
  <c r="Z101" i="14"/>
  <c r="Z102" i="14" s="1"/>
  <c r="AA101" i="14"/>
  <c r="R102" i="14"/>
  <c r="S102" i="14"/>
  <c r="T102" i="14"/>
  <c r="AA102" i="14"/>
  <c r="N104" i="14"/>
  <c r="N105" i="14" s="1"/>
  <c r="O104" i="14"/>
  <c r="O105" i="14" s="1"/>
  <c r="P104" i="14"/>
  <c r="P105" i="14" s="1"/>
  <c r="Q104" i="14"/>
  <c r="Q105" i="14" s="1"/>
  <c r="R104" i="14"/>
  <c r="R105" i="14" s="1"/>
  <c r="S104" i="14"/>
  <c r="T104" i="14"/>
  <c r="T105" i="14" s="1"/>
  <c r="U104" i="14"/>
  <c r="U105" i="14" s="1"/>
  <c r="V104" i="14"/>
  <c r="V105" i="14" s="1"/>
  <c r="W104" i="14"/>
  <c r="X104" i="14"/>
  <c r="X105" i="14" s="1"/>
  <c r="Y104" i="14"/>
  <c r="Y105" i="14" s="1"/>
  <c r="Z104" i="14"/>
  <c r="Z105" i="14" s="1"/>
  <c r="AA104" i="14"/>
  <c r="AA105" i="14" s="1"/>
  <c r="S105" i="14"/>
  <c r="W105" i="14"/>
  <c r="N107" i="14"/>
  <c r="N108" i="14" s="1"/>
  <c r="O107" i="14"/>
  <c r="O108" i="14" s="1"/>
  <c r="P107" i="14"/>
  <c r="P108" i="14" s="1"/>
  <c r="Q107" i="14"/>
  <c r="Q108" i="14" s="1"/>
  <c r="R107" i="14"/>
  <c r="R108" i="14" s="1"/>
  <c r="S107" i="14"/>
  <c r="S108" i="14" s="1"/>
  <c r="T107" i="14"/>
  <c r="T108" i="14" s="1"/>
  <c r="U107" i="14"/>
  <c r="U108" i="14" s="1"/>
  <c r="V107" i="14"/>
  <c r="V108" i="14" s="1"/>
  <c r="W107" i="14"/>
  <c r="W108" i="14" s="1"/>
  <c r="X107" i="14"/>
  <c r="X108" i="14" s="1"/>
  <c r="Y107" i="14"/>
  <c r="Y108" i="14" s="1"/>
  <c r="Z107" i="14"/>
  <c r="Z108" i="14" s="1"/>
  <c r="AA107" i="14"/>
  <c r="AA108" i="14" s="1"/>
  <c r="N110" i="14"/>
  <c r="N111" i="14" s="1"/>
  <c r="O110" i="14"/>
  <c r="O111" i="14" s="1"/>
  <c r="P110" i="14"/>
  <c r="P111" i="14" s="1"/>
  <c r="Q110" i="14"/>
  <c r="Q111" i="14" s="1"/>
  <c r="R110" i="14"/>
  <c r="R111" i="14" s="1"/>
  <c r="S110" i="14"/>
  <c r="S111" i="14" s="1"/>
  <c r="T110" i="14"/>
  <c r="U110" i="14"/>
  <c r="U111" i="14" s="1"/>
  <c r="V110" i="14"/>
  <c r="V111" i="14" s="1"/>
  <c r="W110" i="14"/>
  <c r="W111" i="14" s="1"/>
  <c r="X110" i="14"/>
  <c r="X111" i="14" s="1"/>
  <c r="Y110" i="14"/>
  <c r="Y111" i="14" s="1"/>
  <c r="Z110" i="14"/>
  <c r="Z111" i="14" s="1"/>
  <c r="AA110" i="14"/>
  <c r="AA111" i="14" s="1"/>
  <c r="T111" i="14"/>
  <c r="N113" i="14"/>
  <c r="N114" i="14" s="1"/>
  <c r="O113" i="14"/>
  <c r="O114" i="14" s="1"/>
  <c r="P113" i="14"/>
  <c r="P114" i="14" s="1"/>
  <c r="Q113" i="14"/>
  <c r="Q114" i="14" s="1"/>
  <c r="R113" i="14"/>
  <c r="R114" i="14" s="1"/>
  <c r="S113" i="14"/>
  <c r="T113" i="14"/>
  <c r="U113" i="14"/>
  <c r="U114" i="14" s="1"/>
  <c r="V113" i="14"/>
  <c r="V114" i="14" s="1"/>
  <c r="W113" i="14"/>
  <c r="W114" i="14" s="1"/>
  <c r="X113" i="14"/>
  <c r="X114" i="14" s="1"/>
  <c r="Y113" i="14"/>
  <c r="Y114" i="14" s="1"/>
  <c r="Z113" i="14"/>
  <c r="Z114" i="14" s="1"/>
  <c r="AA113" i="14"/>
  <c r="S114" i="14"/>
  <c r="T114" i="14"/>
  <c r="AA114" i="14"/>
  <c r="N116" i="14"/>
  <c r="N117" i="14" s="1"/>
  <c r="O116" i="14"/>
  <c r="O117" i="14" s="1"/>
  <c r="P116" i="14"/>
  <c r="P117" i="14" s="1"/>
  <c r="Q116" i="14"/>
  <c r="Q117" i="14" s="1"/>
  <c r="R116" i="14"/>
  <c r="R117" i="14" s="1"/>
  <c r="S116" i="14"/>
  <c r="S117" i="14" s="1"/>
  <c r="T116" i="14"/>
  <c r="T117" i="14" s="1"/>
  <c r="U116" i="14"/>
  <c r="U117" i="14" s="1"/>
  <c r="V116" i="14"/>
  <c r="V117" i="14" s="1"/>
  <c r="W116" i="14"/>
  <c r="W117" i="14" s="1"/>
  <c r="X116" i="14"/>
  <c r="X117" i="14" s="1"/>
  <c r="Y116" i="14"/>
  <c r="Y117" i="14" s="1"/>
  <c r="Z116" i="14"/>
  <c r="Z117" i="14" s="1"/>
  <c r="AA116" i="14"/>
  <c r="AA117" i="14" s="1"/>
  <c r="N119" i="14"/>
  <c r="N120" i="14" s="1"/>
  <c r="O119" i="14"/>
  <c r="O120" i="14" s="1"/>
  <c r="P119" i="14"/>
  <c r="P120" i="14" s="1"/>
  <c r="Q119" i="14"/>
  <c r="Q120" i="14" s="1"/>
  <c r="R119" i="14"/>
  <c r="R120" i="14" s="1"/>
  <c r="S119" i="14"/>
  <c r="T119" i="14"/>
  <c r="U119" i="14"/>
  <c r="U120" i="14" s="1"/>
  <c r="V119" i="14"/>
  <c r="V120" i="14" s="1"/>
  <c r="W119" i="14"/>
  <c r="X119" i="14"/>
  <c r="Y119" i="14"/>
  <c r="Y120" i="14" s="1"/>
  <c r="Z119" i="14"/>
  <c r="Z120" i="14" s="1"/>
  <c r="AA119" i="14"/>
  <c r="AA120" i="14" s="1"/>
  <c r="S120" i="14"/>
  <c r="T120" i="14"/>
  <c r="W120" i="14"/>
  <c r="X120" i="14"/>
  <c r="N122" i="14"/>
  <c r="N123" i="14" s="1"/>
  <c r="O122" i="14"/>
  <c r="O123" i="14" s="1"/>
  <c r="P122" i="14"/>
  <c r="P123" i="14" s="1"/>
  <c r="Q122" i="14"/>
  <c r="Q123" i="14" s="1"/>
  <c r="R122" i="14"/>
  <c r="R123" i="14" s="1"/>
  <c r="S122" i="14"/>
  <c r="S123" i="14" s="1"/>
  <c r="T122" i="14"/>
  <c r="T123" i="14" s="1"/>
  <c r="U122" i="14"/>
  <c r="U123" i="14" s="1"/>
  <c r="V122" i="14"/>
  <c r="V123" i="14" s="1"/>
  <c r="W122" i="14"/>
  <c r="X122" i="14"/>
  <c r="X123" i="14" s="1"/>
  <c r="Y122" i="14"/>
  <c r="Y123" i="14" s="1"/>
  <c r="Z122" i="14"/>
  <c r="Z123" i="14" s="1"/>
  <c r="AA122" i="14"/>
  <c r="AA123" i="14" s="1"/>
  <c r="W123" i="14"/>
  <c r="N125" i="14"/>
  <c r="N126" i="14" s="1"/>
  <c r="O125" i="14"/>
  <c r="O126" i="14" s="1"/>
  <c r="P125" i="14"/>
  <c r="P126" i="14" s="1"/>
  <c r="Q125" i="14"/>
  <c r="Q126" i="14" s="1"/>
  <c r="R125" i="14"/>
  <c r="R126" i="14" s="1"/>
  <c r="S125" i="14"/>
  <c r="S126" i="14" s="1"/>
  <c r="T125" i="14"/>
  <c r="T126" i="14" s="1"/>
  <c r="U125" i="14"/>
  <c r="U126" i="14" s="1"/>
  <c r="V125" i="14"/>
  <c r="V126" i="14" s="1"/>
  <c r="W125" i="14"/>
  <c r="W126" i="14" s="1"/>
  <c r="X125" i="14"/>
  <c r="X126" i="14" s="1"/>
  <c r="Y125" i="14"/>
  <c r="Y126" i="14" s="1"/>
  <c r="Z125" i="14"/>
  <c r="Z126" i="14" s="1"/>
  <c r="AA125" i="14"/>
  <c r="AA126" i="14"/>
  <c r="N128" i="14"/>
  <c r="N129" i="14" s="1"/>
  <c r="O128" i="14"/>
  <c r="P128" i="14"/>
  <c r="Q128" i="14"/>
  <c r="Q129" i="14" s="1"/>
  <c r="R128" i="14"/>
  <c r="R129" i="14" s="1"/>
  <c r="S128" i="14"/>
  <c r="S129" i="14" s="1"/>
  <c r="T128" i="14"/>
  <c r="T129" i="14" s="1"/>
  <c r="U128" i="14"/>
  <c r="U129" i="14" s="1"/>
  <c r="V128" i="14"/>
  <c r="V129" i="14" s="1"/>
  <c r="W128" i="14"/>
  <c r="X128" i="14"/>
  <c r="X129" i="14" s="1"/>
  <c r="Y128" i="14"/>
  <c r="Y129" i="14" s="1"/>
  <c r="Z128" i="14"/>
  <c r="Z129" i="14" s="1"/>
  <c r="AA128" i="14"/>
  <c r="AA129" i="14" s="1"/>
  <c r="O129" i="14"/>
  <c r="P129" i="14"/>
  <c r="W129" i="14"/>
  <c r="N131" i="14"/>
  <c r="N132" i="14" s="1"/>
  <c r="O131" i="14"/>
  <c r="O132" i="14" s="1"/>
  <c r="P131" i="14"/>
  <c r="P132" i="14" s="1"/>
  <c r="Q131" i="14"/>
  <c r="Q132" i="14" s="1"/>
  <c r="R131" i="14"/>
  <c r="R132" i="14" s="1"/>
  <c r="S131" i="14"/>
  <c r="T131" i="14"/>
  <c r="T132" i="14" s="1"/>
  <c r="U131" i="14"/>
  <c r="U132" i="14" s="1"/>
  <c r="V131" i="14"/>
  <c r="V132" i="14" s="1"/>
  <c r="W131" i="14"/>
  <c r="W132" i="14" s="1"/>
  <c r="X131" i="14"/>
  <c r="Y131" i="14"/>
  <c r="Y132" i="14" s="1"/>
  <c r="Z131" i="14"/>
  <c r="Z132" i="14" s="1"/>
  <c r="AA131" i="14"/>
  <c r="AA132" i="14" s="1"/>
  <c r="S132" i="14"/>
  <c r="X132" i="14"/>
  <c r="N134" i="14"/>
  <c r="N135" i="14" s="1"/>
  <c r="O134" i="14"/>
  <c r="O135" i="14" s="1"/>
  <c r="P134" i="14"/>
  <c r="P135" i="14" s="1"/>
  <c r="Q134" i="14"/>
  <c r="Q135" i="14" s="1"/>
  <c r="R134" i="14"/>
  <c r="R135" i="14" s="1"/>
  <c r="S134" i="14"/>
  <c r="S135" i="14" s="1"/>
  <c r="T134" i="14"/>
  <c r="T135" i="14" s="1"/>
  <c r="U134" i="14"/>
  <c r="U135" i="14" s="1"/>
  <c r="V134" i="14"/>
  <c r="V135" i="14" s="1"/>
  <c r="W134" i="14"/>
  <c r="W135" i="14" s="1"/>
  <c r="X134" i="14"/>
  <c r="X135" i="14" s="1"/>
  <c r="Y134" i="14"/>
  <c r="Y135" i="14" s="1"/>
  <c r="Z134" i="14"/>
  <c r="Z135" i="14" s="1"/>
  <c r="AA134" i="14"/>
  <c r="AA135" i="14" s="1"/>
  <c r="N137" i="14"/>
  <c r="N138" i="14" s="1"/>
  <c r="O137" i="14"/>
  <c r="O138" i="14" s="1"/>
  <c r="P137" i="14"/>
  <c r="Q137" i="14"/>
  <c r="R137" i="14"/>
  <c r="R138" i="14" s="1"/>
  <c r="S137" i="14"/>
  <c r="T137" i="14"/>
  <c r="T138" i="14" s="1"/>
  <c r="U137" i="14"/>
  <c r="U138" i="14" s="1"/>
  <c r="V137" i="14"/>
  <c r="V138" i="14" s="1"/>
  <c r="W137" i="14"/>
  <c r="W138" i="14" s="1"/>
  <c r="X137" i="14"/>
  <c r="X138" i="14" s="1"/>
  <c r="Y137" i="14"/>
  <c r="Y138" i="14" s="1"/>
  <c r="Z137" i="14"/>
  <c r="Z138" i="14" s="1"/>
  <c r="AA137" i="14"/>
  <c r="P138" i="14"/>
  <c r="Q138" i="14"/>
  <c r="S138" i="14"/>
  <c r="AA138" i="14"/>
  <c r="N140" i="14"/>
  <c r="N141" i="14" s="1"/>
  <c r="O140" i="14"/>
  <c r="O141" i="14" s="1"/>
  <c r="P140" i="14"/>
  <c r="P141" i="14" s="1"/>
  <c r="Q140" i="14"/>
  <c r="Q141" i="14" s="1"/>
  <c r="R140" i="14"/>
  <c r="R141" i="14" s="1"/>
  <c r="S140" i="14"/>
  <c r="S141" i="14" s="1"/>
  <c r="T140" i="14"/>
  <c r="T141" i="14" s="1"/>
  <c r="U140" i="14"/>
  <c r="U141" i="14" s="1"/>
  <c r="V140" i="14"/>
  <c r="V141" i="14" s="1"/>
  <c r="W140" i="14"/>
  <c r="X140" i="14"/>
  <c r="X141" i="14" s="1"/>
  <c r="Y140" i="14"/>
  <c r="Y141" i="14" s="1"/>
  <c r="Z140" i="14"/>
  <c r="Z141" i="14" s="1"/>
  <c r="AA140" i="14"/>
  <c r="AA141" i="14" s="1"/>
  <c r="W141" i="14"/>
  <c r="N143" i="14"/>
  <c r="N144" i="14" s="1"/>
  <c r="O143" i="14"/>
  <c r="O144" i="14" s="1"/>
  <c r="P143" i="14"/>
  <c r="P144" i="14" s="1"/>
  <c r="Q143" i="14"/>
  <c r="Q144" i="14" s="1"/>
  <c r="R143" i="14"/>
  <c r="R144" i="14" s="1"/>
  <c r="S143" i="14"/>
  <c r="S144" i="14" s="1"/>
  <c r="T143" i="14"/>
  <c r="T144" i="14" s="1"/>
  <c r="U143" i="14"/>
  <c r="U144" i="14" s="1"/>
  <c r="V143" i="14"/>
  <c r="V144" i="14" s="1"/>
  <c r="W143" i="14"/>
  <c r="W144" i="14" s="1"/>
  <c r="X143" i="14"/>
  <c r="X144" i="14" s="1"/>
  <c r="Y143" i="14"/>
  <c r="Y144" i="14" s="1"/>
  <c r="Z143" i="14"/>
  <c r="Z144" i="14" s="1"/>
  <c r="AA143" i="14"/>
  <c r="AA144" i="14" s="1"/>
  <c r="N146" i="14"/>
  <c r="N147" i="14" s="1"/>
  <c r="O146" i="14"/>
  <c r="O147" i="14" s="1"/>
  <c r="P146" i="14"/>
  <c r="P147" i="14" s="1"/>
  <c r="Q146" i="14"/>
  <c r="Q147" i="14" s="1"/>
  <c r="R146" i="14"/>
  <c r="R147" i="14" s="1"/>
  <c r="S146" i="14"/>
  <c r="S147" i="14" s="1"/>
  <c r="T146" i="14"/>
  <c r="T147" i="14" s="1"/>
  <c r="U146" i="14"/>
  <c r="U147" i="14" s="1"/>
  <c r="V146" i="14"/>
  <c r="V147" i="14" s="1"/>
  <c r="W146" i="14"/>
  <c r="W147" i="14" s="1"/>
  <c r="X146" i="14"/>
  <c r="X147" i="14" s="1"/>
  <c r="Y146" i="14"/>
  <c r="Y147" i="14" s="1"/>
  <c r="Z146" i="14"/>
  <c r="Z147" i="14" s="1"/>
  <c r="AA146" i="14"/>
  <c r="AA147" i="14" s="1"/>
  <c r="N149" i="14"/>
  <c r="N150" i="14" s="1"/>
  <c r="O149" i="14"/>
  <c r="O150" i="14" s="1"/>
  <c r="P149" i="14"/>
  <c r="P150" i="14" s="1"/>
  <c r="Q149" i="14"/>
  <c r="Q150" i="14" s="1"/>
  <c r="R149" i="14"/>
  <c r="R150" i="14" s="1"/>
  <c r="S149" i="14"/>
  <c r="T149" i="14"/>
  <c r="T150" i="14" s="1"/>
  <c r="U149" i="14"/>
  <c r="U150" i="14" s="1"/>
  <c r="V149" i="14"/>
  <c r="V150" i="14" s="1"/>
  <c r="W149" i="14"/>
  <c r="W150" i="14" s="1"/>
  <c r="X149" i="14"/>
  <c r="X150" i="14" s="1"/>
  <c r="Y149" i="14"/>
  <c r="Y150" i="14" s="1"/>
  <c r="Z149" i="14"/>
  <c r="AA149" i="14"/>
  <c r="S150" i="14"/>
  <c r="Z150" i="14"/>
  <c r="AA150" i="14"/>
  <c r="N152" i="14"/>
  <c r="O152" i="14"/>
  <c r="P152" i="14"/>
  <c r="P153" i="14" s="1"/>
  <c r="Q152" i="14"/>
  <c r="Q153" i="14" s="1"/>
  <c r="R152" i="14"/>
  <c r="R153" i="14" s="1"/>
  <c r="S152" i="14"/>
  <c r="S153" i="14" s="1"/>
  <c r="T152" i="14"/>
  <c r="T153" i="14" s="1"/>
  <c r="U152" i="14"/>
  <c r="U153" i="14" s="1"/>
  <c r="V152" i="14"/>
  <c r="W152" i="14"/>
  <c r="X152" i="14"/>
  <c r="X153" i="14" s="1"/>
  <c r="Y152" i="14"/>
  <c r="Y153" i="14" s="1"/>
  <c r="Z152" i="14"/>
  <c r="Z153" i="14" s="1"/>
  <c r="AA152" i="14"/>
  <c r="AA153" i="14" s="1"/>
  <c r="N153" i="14"/>
  <c r="O153" i="14"/>
  <c r="V153" i="14"/>
  <c r="W153" i="14"/>
  <c r="N155" i="14"/>
  <c r="N156" i="14" s="1"/>
  <c r="O155" i="14"/>
  <c r="O156" i="14" s="1"/>
  <c r="P155" i="14"/>
  <c r="P156" i="14" s="1"/>
  <c r="Q155" i="14"/>
  <c r="Q156" i="14" s="1"/>
  <c r="R155" i="14"/>
  <c r="S155" i="14"/>
  <c r="S156" i="14" s="1"/>
  <c r="T155" i="14"/>
  <c r="U155" i="14"/>
  <c r="U156" i="14" s="1"/>
  <c r="V155" i="14"/>
  <c r="V156" i="14" s="1"/>
  <c r="W155" i="14"/>
  <c r="W156" i="14" s="1"/>
  <c r="X155" i="14"/>
  <c r="X156" i="14" s="1"/>
  <c r="Y155" i="14"/>
  <c r="Y156" i="14" s="1"/>
  <c r="Z155" i="14"/>
  <c r="Z156" i="14" s="1"/>
  <c r="AA155" i="14"/>
  <c r="AA156" i="14" s="1"/>
  <c r="R156" i="14"/>
  <c r="T156" i="14"/>
  <c r="N158" i="14"/>
  <c r="N159" i="14" s="1"/>
  <c r="O158" i="14"/>
  <c r="O159" i="14" s="1"/>
  <c r="P158" i="14"/>
  <c r="P159" i="14" s="1"/>
  <c r="Q158" i="14"/>
  <c r="Q159" i="14" s="1"/>
  <c r="R158" i="14"/>
  <c r="R159" i="14" s="1"/>
  <c r="S158" i="14"/>
  <c r="S159" i="14" s="1"/>
  <c r="T158" i="14"/>
  <c r="U158" i="14"/>
  <c r="U159" i="14" s="1"/>
  <c r="V158" i="14"/>
  <c r="V159" i="14" s="1"/>
  <c r="W158" i="14"/>
  <c r="W159" i="14" s="1"/>
  <c r="X158" i="14"/>
  <c r="Y158" i="14"/>
  <c r="Y159" i="14" s="1"/>
  <c r="Z158" i="14"/>
  <c r="Z159" i="14" s="1"/>
  <c r="AA158" i="14"/>
  <c r="AA159" i="14" s="1"/>
  <c r="T159" i="14"/>
  <c r="X159" i="14"/>
  <c r="N161" i="14"/>
  <c r="N162" i="14" s="1"/>
  <c r="O161" i="14"/>
  <c r="O162" i="14" s="1"/>
  <c r="P161" i="14"/>
  <c r="P162" i="14" s="1"/>
  <c r="Q161" i="14"/>
  <c r="R161" i="14"/>
  <c r="R162" i="14" s="1"/>
  <c r="S161" i="14"/>
  <c r="T161" i="14"/>
  <c r="T162" i="14" s="1"/>
  <c r="U161" i="14"/>
  <c r="U162" i="14" s="1"/>
  <c r="V161" i="14"/>
  <c r="V162" i="14" s="1"/>
  <c r="W161" i="14"/>
  <c r="X161" i="14"/>
  <c r="Y161" i="14"/>
  <c r="Y162" i="14" s="1"/>
  <c r="Z161" i="14"/>
  <c r="Z162" i="14" s="1"/>
  <c r="AA161" i="14"/>
  <c r="AA162" i="14" s="1"/>
  <c r="Q162" i="14"/>
  <c r="S162" i="14"/>
  <c r="W162" i="14"/>
  <c r="X162" i="14"/>
  <c r="N164" i="14"/>
  <c r="N165" i="14" s="1"/>
  <c r="O164" i="14"/>
  <c r="O165" i="14" s="1"/>
  <c r="P164" i="14"/>
  <c r="P165" i="14" s="1"/>
  <c r="Q164" i="14"/>
  <c r="Q165" i="14" s="1"/>
  <c r="R164" i="14"/>
  <c r="R165" i="14" s="1"/>
  <c r="S164" i="14"/>
  <c r="T164" i="14"/>
  <c r="U164" i="14"/>
  <c r="U165" i="14" s="1"/>
  <c r="V164" i="14"/>
  <c r="W164" i="14"/>
  <c r="X164" i="14"/>
  <c r="Y164" i="14"/>
  <c r="Y165" i="14" s="1"/>
  <c r="Z164" i="14"/>
  <c r="Z165" i="14" s="1"/>
  <c r="AA164" i="14"/>
  <c r="S165" i="14"/>
  <c r="T165" i="14"/>
  <c r="V165" i="14"/>
  <c r="W165" i="14"/>
  <c r="X165" i="14"/>
  <c r="AA165" i="14"/>
  <c r="N167" i="14"/>
  <c r="N168" i="14" s="1"/>
  <c r="O167" i="14"/>
  <c r="O168" i="14" s="1"/>
  <c r="P167" i="14"/>
  <c r="Q167" i="14"/>
  <c r="Q168" i="14" s="1"/>
  <c r="R167" i="14"/>
  <c r="R168" i="14" s="1"/>
  <c r="S167" i="14"/>
  <c r="S168" i="14" s="1"/>
  <c r="T167" i="14"/>
  <c r="T168" i="14" s="1"/>
  <c r="U167" i="14"/>
  <c r="U168" i="14" s="1"/>
  <c r="V167" i="14"/>
  <c r="V168" i="14" s="1"/>
  <c r="W167" i="14"/>
  <c r="X167" i="14"/>
  <c r="X168" i="14" s="1"/>
  <c r="Y167" i="14"/>
  <c r="Y168" i="14" s="1"/>
  <c r="Z167" i="14"/>
  <c r="Z168" i="14" s="1"/>
  <c r="AA167" i="14"/>
  <c r="AA168" i="14" s="1"/>
  <c r="P168" i="14"/>
  <c r="W168" i="14"/>
  <c r="N170" i="14"/>
  <c r="N171" i="14" s="1"/>
  <c r="O170" i="14"/>
  <c r="O171" i="14" s="1"/>
  <c r="P170" i="14"/>
  <c r="P171" i="14" s="1"/>
  <c r="Q170" i="14"/>
  <c r="Q171" i="14" s="1"/>
  <c r="R170" i="14"/>
  <c r="R171" i="14" s="1"/>
  <c r="S170" i="14"/>
  <c r="T170" i="14"/>
  <c r="T171" i="14" s="1"/>
  <c r="U170" i="14"/>
  <c r="U171" i="14" s="1"/>
  <c r="V170" i="14"/>
  <c r="V171" i="14" s="1"/>
  <c r="W170" i="14"/>
  <c r="W171" i="14" s="1"/>
  <c r="X170" i="14"/>
  <c r="X171" i="14" s="1"/>
  <c r="Y170" i="14"/>
  <c r="Y171" i="14" s="1"/>
  <c r="Z170" i="14"/>
  <c r="Z171" i="14" s="1"/>
  <c r="AA170" i="14"/>
  <c r="S171" i="14"/>
  <c r="AA171" i="14"/>
  <c r="N173" i="14"/>
  <c r="N174" i="14" s="1"/>
  <c r="O173" i="14"/>
  <c r="O174" i="14" s="1"/>
  <c r="P173" i="14"/>
  <c r="P174" i="14" s="1"/>
  <c r="Q173" i="14"/>
  <c r="Q174" i="14" s="1"/>
  <c r="R173" i="14"/>
  <c r="R174" i="14" s="1"/>
  <c r="S173" i="14"/>
  <c r="T173" i="14"/>
  <c r="U173" i="14"/>
  <c r="U174" i="14" s="1"/>
  <c r="V173" i="14"/>
  <c r="V174" i="14" s="1"/>
  <c r="W173" i="14"/>
  <c r="W174" i="14" s="1"/>
  <c r="X173" i="14"/>
  <c r="X174" i="14" s="1"/>
  <c r="Y173" i="14"/>
  <c r="Y174" i="14" s="1"/>
  <c r="Z173" i="14"/>
  <c r="AA173" i="14"/>
  <c r="AA174" i="14" s="1"/>
  <c r="S174" i="14"/>
  <c r="T174" i="14"/>
  <c r="Z174" i="14"/>
  <c r="N176" i="14"/>
  <c r="N177" i="14" s="1"/>
  <c r="O176" i="14"/>
  <c r="P176" i="14"/>
  <c r="P177" i="14" s="1"/>
  <c r="Q176" i="14"/>
  <c r="Q177" i="14" s="1"/>
  <c r="R176" i="14"/>
  <c r="R177" i="14" s="1"/>
  <c r="S176" i="14"/>
  <c r="S177" i="14" s="1"/>
  <c r="T176" i="14"/>
  <c r="T177" i="14" s="1"/>
  <c r="U176" i="14"/>
  <c r="U177" i="14" s="1"/>
  <c r="V176" i="14"/>
  <c r="W176" i="14"/>
  <c r="W177" i="14" s="1"/>
  <c r="X176" i="14"/>
  <c r="Y176" i="14"/>
  <c r="Y177" i="14" s="1"/>
  <c r="Z176" i="14"/>
  <c r="Z177" i="14" s="1"/>
  <c r="AA176" i="14"/>
  <c r="AA177" i="14" s="1"/>
  <c r="O177" i="14"/>
  <c r="V177" i="14"/>
  <c r="X177" i="14"/>
  <c r="N179" i="14"/>
  <c r="N180" i="14" s="1"/>
  <c r="O179" i="14"/>
  <c r="O180" i="14" s="1"/>
  <c r="P179" i="14"/>
  <c r="P180" i="14" s="1"/>
  <c r="Q179" i="14"/>
  <c r="Q180" i="14" s="1"/>
  <c r="R179" i="14"/>
  <c r="R180" i="14" s="1"/>
  <c r="S179" i="14"/>
  <c r="S180" i="14" s="1"/>
  <c r="T179" i="14"/>
  <c r="U179" i="14"/>
  <c r="U180" i="14" s="1"/>
  <c r="V179" i="14"/>
  <c r="V180" i="14" s="1"/>
  <c r="W179" i="14"/>
  <c r="W180" i="14" s="1"/>
  <c r="X179" i="14"/>
  <c r="X180" i="14" s="1"/>
  <c r="Y179" i="14"/>
  <c r="Y180" i="14" s="1"/>
  <c r="Z179" i="14"/>
  <c r="AA179" i="14"/>
  <c r="AA180" i="14" s="1"/>
  <c r="T180" i="14"/>
  <c r="Z180" i="14"/>
  <c r="N182" i="14"/>
  <c r="N183" i="14" s="1"/>
  <c r="O182" i="14"/>
  <c r="O183" i="14" s="1"/>
  <c r="P182" i="14"/>
  <c r="Q182" i="14"/>
  <c r="Q183" i="14" s="1"/>
  <c r="R182" i="14"/>
  <c r="R183" i="14" s="1"/>
  <c r="S182" i="14"/>
  <c r="S183" i="14" s="1"/>
  <c r="T182" i="14"/>
  <c r="T183" i="14" s="1"/>
  <c r="U182" i="14"/>
  <c r="U183" i="14" s="1"/>
  <c r="V182" i="14"/>
  <c r="V183" i="14" s="1"/>
  <c r="W182" i="14"/>
  <c r="W183" i="14" s="1"/>
  <c r="X182" i="14"/>
  <c r="Y182" i="14"/>
  <c r="Y183" i="14" s="1"/>
  <c r="Z182" i="14"/>
  <c r="Z183" i="14" s="1"/>
  <c r="AA182" i="14"/>
  <c r="P183" i="14"/>
  <c r="X183" i="14"/>
  <c r="AA183" i="14"/>
  <c r="N185" i="14"/>
  <c r="N186" i="14" s="1"/>
  <c r="O185" i="14"/>
  <c r="O186" i="14" s="1"/>
  <c r="P185" i="14"/>
  <c r="P186" i="14" s="1"/>
  <c r="Q185" i="14"/>
  <c r="Q186" i="14" s="1"/>
  <c r="R185" i="14"/>
  <c r="R186" i="14" s="1"/>
  <c r="S185" i="14"/>
  <c r="T185" i="14"/>
  <c r="U185" i="14"/>
  <c r="U186" i="14" s="1"/>
  <c r="V185" i="14"/>
  <c r="V186" i="14" s="1"/>
  <c r="W185" i="14"/>
  <c r="W186" i="14" s="1"/>
  <c r="X185" i="14"/>
  <c r="X186" i="14" s="1"/>
  <c r="Y185" i="14"/>
  <c r="Z185" i="14"/>
  <c r="Z186" i="14" s="1"/>
  <c r="AA185" i="14"/>
  <c r="AA186" i="14" s="1"/>
  <c r="S186" i="14"/>
  <c r="T186" i="14"/>
  <c r="Y186" i="14"/>
  <c r="N188" i="14"/>
  <c r="N189" i="14" s="1"/>
  <c r="O188" i="14"/>
  <c r="O189" i="14" s="1"/>
  <c r="P188" i="14"/>
  <c r="P189" i="14" s="1"/>
  <c r="Q188" i="14"/>
  <c r="Q189" i="14" s="1"/>
  <c r="R188" i="14"/>
  <c r="R189" i="14" s="1"/>
  <c r="S188" i="14"/>
  <c r="S189" i="14" s="1"/>
  <c r="T188" i="14"/>
  <c r="T189" i="14" s="1"/>
  <c r="U188" i="14"/>
  <c r="U189" i="14" s="1"/>
  <c r="V188" i="14"/>
  <c r="W188" i="14"/>
  <c r="W189" i="14" s="1"/>
  <c r="X188" i="14"/>
  <c r="X189" i="14" s="1"/>
  <c r="Y188" i="14"/>
  <c r="Y189" i="14" s="1"/>
  <c r="Z188" i="14"/>
  <c r="Z189" i="14" s="1"/>
  <c r="AA188" i="14"/>
  <c r="AA189" i="14" s="1"/>
  <c r="V189" i="14"/>
  <c r="N191" i="14"/>
  <c r="N192" i="14" s="1"/>
  <c r="O191" i="14"/>
  <c r="O192" i="14" s="1"/>
  <c r="P191" i="14"/>
  <c r="P192" i="14" s="1"/>
  <c r="Q191" i="14"/>
  <c r="Q192" i="14" s="1"/>
  <c r="R191" i="14"/>
  <c r="R192" i="14" s="1"/>
  <c r="S191" i="14"/>
  <c r="S192" i="14" s="1"/>
  <c r="T191" i="14"/>
  <c r="U191" i="14"/>
  <c r="U192" i="14" s="1"/>
  <c r="V191" i="14"/>
  <c r="V192" i="14" s="1"/>
  <c r="W191" i="14"/>
  <c r="W192" i="14" s="1"/>
  <c r="X191" i="14"/>
  <c r="X192" i="14" s="1"/>
  <c r="Y191" i="14"/>
  <c r="Y192" i="14" s="1"/>
  <c r="Z191" i="14"/>
  <c r="Z192" i="14" s="1"/>
  <c r="AA191" i="14"/>
  <c r="T192" i="14"/>
  <c r="AA192" i="14"/>
  <c r="N194" i="14"/>
  <c r="N195" i="14" s="1"/>
  <c r="O194" i="14"/>
  <c r="O195" i="14" s="1"/>
  <c r="P194" i="14"/>
  <c r="P195" i="14" s="1"/>
  <c r="Q194" i="14"/>
  <c r="R194" i="14"/>
  <c r="R195" i="14" s="1"/>
  <c r="S194" i="14"/>
  <c r="S195" i="14" s="1"/>
  <c r="T194" i="14"/>
  <c r="T195" i="14" s="1"/>
  <c r="U194" i="14"/>
  <c r="U195" i="14" s="1"/>
  <c r="V194" i="14"/>
  <c r="V195" i="14" s="1"/>
  <c r="W194" i="14"/>
  <c r="W195" i="14" s="1"/>
  <c r="X194" i="14"/>
  <c r="X195" i="14" s="1"/>
  <c r="Y194" i="14"/>
  <c r="Y195" i="14" s="1"/>
  <c r="Z194" i="14"/>
  <c r="Z195" i="14" s="1"/>
  <c r="AA194" i="14"/>
  <c r="AA195" i="14" s="1"/>
  <c r="Q195" i="14"/>
  <c r="N197" i="14"/>
  <c r="N198" i="14" s="1"/>
  <c r="O197" i="14"/>
  <c r="O198" i="14" s="1"/>
  <c r="P197" i="14"/>
  <c r="P198" i="14" s="1"/>
  <c r="Q197" i="14"/>
  <c r="Q198" i="14" s="1"/>
  <c r="R197" i="14"/>
  <c r="R198" i="14" s="1"/>
  <c r="S197" i="14"/>
  <c r="S198" i="14" s="1"/>
  <c r="T197" i="14"/>
  <c r="U197" i="14"/>
  <c r="U198" i="14" s="1"/>
  <c r="V197" i="14"/>
  <c r="V198" i="14" s="1"/>
  <c r="W197" i="14"/>
  <c r="W198" i="14" s="1"/>
  <c r="X197" i="14"/>
  <c r="X198" i="14" s="1"/>
  <c r="Y197" i="14"/>
  <c r="Z197" i="14"/>
  <c r="Z198" i="14" s="1"/>
  <c r="AA197" i="14"/>
  <c r="AA198" i="14" s="1"/>
  <c r="T198" i="14"/>
  <c r="Y198" i="14"/>
  <c r="N200" i="14"/>
  <c r="N201" i="14" s="1"/>
  <c r="O200" i="14"/>
  <c r="O201" i="14" s="1"/>
  <c r="P200" i="14"/>
  <c r="Q200" i="14"/>
  <c r="R200" i="14"/>
  <c r="R201" i="14" s="1"/>
  <c r="S200" i="14"/>
  <c r="S201" i="14" s="1"/>
  <c r="T200" i="14"/>
  <c r="T201" i="14" s="1"/>
  <c r="U200" i="14"/>
  <c r="U201" i="14" s="1"/>
  <c r="V200" i="14"/>
  <c r="W200" i="14"/>
  <c r="W201" i="14" s="1"/>
  <c r="X200" i="14"/>
  <c r="X201" i="14" s="1"/>
  <c r="Y200" i="14"/>
  <c r="Y201" i="14" s="1"/>
  <c r="Z200" i="14"/>
  <c r="Z201" i="14" s="1"/>
  <c r="AA200" i="14"/>
  <c r="AA201" i="14" s="1"/>
  <c r="P201" i="14"/>
  <c r="Q201" i="14"/>
  <c r="V201" i="14"/>
  <c r="N203" i="14"/>
  <c r="N204" i="14" s="1"/>
  <c r="O203" i="14"/>
  <c r="O204" i="14" s="1"/>
  <c r="P203" i="14"/>
  <c r="P204" i="14" s="1"/>
  <c r="Q203" i="14"/>
  <c r="Q204" i="14" s="1"/>
  <c r="R203" i="14"/>
  <c r="R204" i="14" s="1"/>
  <c r="S203" i="14"/>
  <c r="S204" i="14" s="1"/>
  <c r="T203" i="14"/>
  <c r="T204" i="14" s="1"/>
  <c r="U203" i="14"/>
  <c r="U204" i="14" s="1"/>
  <c r="V203" i="14"/>
  <c r="V204" i="14" s="1"/>
  <c r="W203" i="14"/>
  <c r="W204" i="14" s="1"/>
  <c r="X203" i="14"/>
  <c r="X204" i="14" s="1"/>
  <c r="Y203" i="14"/>
  <c r="Y204" i="14" s="1"/>
  <c r="Z203" i="14"/>
  <c r="Z204" i="14" s="1"/>
  <c r="AA203" i="14"/>
  <c r="AA204" i="14" s="1"/>
  <c r="N206" i="14"/>
  <c r="N207" i="14" s="1"/>
  <c r="O206" i="14"/>
  <c r="O207" i="14" s="1"/>
  <c r="P206" i="14"/>
  <c r="Q206" i="14"/>
  <c r="R206" i="14"/>
  <c r="R207" i="14" s="1"/>
  <c r="S206" i="14"/>
  <c r="S207" i="14" s="1"/>
  <c r="T206" i="14"/>
  <c r="T207" i="14" s="1"/>
  <c r="U206" i="14"/>
  <c r="U207" i="14" s="1"/>
  <c r="V206" i="14"/>
  <c r="V207" i="14" s="1"/>
  <c r="W206" i="14"/>
  <c r="W207" i="14" s="1"/>
  <c r="X206" i="14"/>
  <c r="X207" i="14" s="1"/>
  <c r="Y206" i="14"/>
  <c r="Y207" i="14" s="1"/>
  <c r="Z206" i="14"/>
  <c r="Z207" i="14" s="1"/>
  <c r="AA206" i="14"/>
  <c r="AA207" i="14" s="1"/>
  <c r="P207" i="14"/>
  <c r="Q207" i="14"/>
  <c r="N209" i="14"/>
  <c r="N210" i="14" s="1"/>
  <c r="O209" i="14"/>
  <c r="O210" i="14" s="1"/>
  <c r="P209" i="14"/>
  <c r="P210" i="14" s="1"/>
  <c r="Q209" i="14"/>
  <c r="Q210" i="14" s="1"/>
  <c r="R209" i="14"/>
  <c r="R210" i="14" s="1"/>
  <c r="S209" i="14"/>
  <c r="S210" i="14" s="1"/>
  <c r="T209" i="14"/>
  <c r="U209" i="14"/>
  <c r="U210" i="14" s="1"/>
  <c r="V209" i="14"/>
  <c r="V210" i="14" s="1"/>
  <c r="W209" i="14"/>
  <c r="X209" i="14"/>
  <c r="X210" i="14" s="1"/>
  <c r="Y209" i="14"/>
  <c r="Y210" i="14" s="1"/>
  <c r="Z209" i="14"/>
  <c r="Z210" i="14" s="1"/>
  <c r="AA209" i="14"/>
  <c r="AA210" i="14" s="1"/>
  <c r="T210" i="14"/>
  <c r="W210" i="14"/>
  <c r="N212" i="14"/>
  <c r="N213" i="14" s="1"/>
  <c r="O212" i="14"/>
  <c r="O213" i="14" s="1"/>
  <c r="P212" i="14"/>
  <c r="P213" i="14" s="1"/>
  <c r="Q212" i="14"/>
  <c r="Q213" i="14" s="1"/>
  <c r="R212" i="14"/>
  <c r="R213" i="14" s="1"/>
  <c r="S212" i="14"/>
  <c r="T212" i="14"/>
  <c r="T213" i="14" s="1"/>
  <c r="U212" i="14"/>
  <c r="U213" i="14" s="1"/>
  <c r="V212" i="14"/>
  <c r="V213" i="14" s="1"/>
  <c r="W212" i="14"/>
  <c r="X212" i="14"/>
  <c r="Y212" i="14"/>
  <c r="Y213" i="14" s="1"/>
  <c r="Z212" i="14"/>
  <c r="Z213" i="14" s="1"/>
  <c r="AA212" i="14"/>
  <c r="AA213" i="14" s="1"/>
  <c r="S213" i="14"/>
  <c r="W213" i="14"/>
  <c r="X213" i="14"/>
  <c r="N215" i="14"/>
  <c r="N216" i="14" s="1"/>
  <c r="O215" i="14"/>
  <c r="O216" i="14" s="1"/>
  <c r="P215" i="14"/>
  <c r="P216" i="14" s="1"/>
  <c r="Q215" i="14"/>
  <c r="Q216" i="14" s="1"/>
  <c r="R215" i="14"/>
  <c r="R216" i="14" s="1"/>
  <c r="S215" i="14"/>
  <c r="S216" i="14" s="1"/>
  <c r="T215" i="14"/>
  <c r="T216" i="14" s="1"/>
  <c r="U215" i="14"/>
  <c r="U216" i="14" s="1"/>
  <c r="V215" i="14"/>
  <c r="V216" i="14" s="1"/>
  <c r="W215" i="14"/>
  <c r="W216" i="14" s="1"/>
  <c r="X215" i="14"/>
  <c r="X216" i="14" s="1"/>
  <c r="Y215" i="14"/>
  <c r="Y216" i="14" s="1"/>
  <c r="Z215" i="14"/>
  <c r="Z216" i="14" s="1"/>
  <c r="AA215" i="14"/>
  <c r="AA216" i="14"/>
  <c r="N218" i="14"/>
  <c r="N219" i="14" s="1"/>
  <c r="O218" i="14"/>
  <c r="O219" i="14" s="1"/>
  <c r="P218" i="14"/>
  <c r="Q218" i="14"/>
  <c r="Q219" i="14" s="1"/>
  <c r="R218" i="14"/>
  <c r="R219" i="14" s="1"/>
  <c r="S218" i="14"/>
  <c r="T218" i="14"/>
  <c r="T219" i="14" s="1"/>
  <c r="U218" i="14"/>
  <c r="U219" i="14" s="1"/>
  <c r="V218" i="14"/>
  <c r="V219" i="14" s="1"/>
  <c r="W218" i="14"/>
  <c r="W219" i="14" s="1"/>
  <c r="X218" i="14"/>
  <c r="Y218" i="14"/>
  <c r="Y219" i="14" s="1"/>
  <c r="Z218" i="14"/>
  <c r="Z219" i="14" s="1"/>
  <c r="AA218" i="14"/>
  <c r="AA219" i="14" s="1"/>
  <c r="P219" i="14"/>
  <c r="S219" i="14"/>
  <c r="X219" i="14"/>
  <c r="N221" i="14"/>
  <c r="N222" i="14" s="1"/>
  <c r="O221" i="14"/>
  <c r="P221" i="14"/>
  <c r="P222" i="14" s="1"/>
  <c r="Q221" i="14"/>
  <c r="Q222" i="14" s="1"/>
  <c r="R221" i="14"/>
  <c r="R222" i="14" s="1"/>
  <c r="S221" i="14"/>
  <c r="S222" i="14" s="1"/>
  <c r="T221" i="14"/>
  <c r="T222" i="14" s="1"/>
  <c r="U221" i="14"/>
  <c r="U222" i="14" s="1"/>
  <c r="V221" i="14"/>
  <c r="V222" i="14" s="1"/>
  <c r="W221" i="14"/>
  <c r="W222" i="14" s="1"/>
  <c r="X221" i="14"/>
  <c r="X222" i="14" s="1"/>
  <c r="Y221" i="14"/>
  <c r="Y222" i="14" s="1"/>
  <c r="Z221" i="14"/>
  <c r="Z222" i="14" s="1"/>
  <c r="AA221" i="14"/>
  <c r="AA222" i="14" s="1"/>
  <c r="O222" i="14"/>
  <c r="N224" i="14"/>
  <c r="N225" i="14" s="1"/>
  <c r="O224" i="14"/>
  <c r="O225" i="14" s="1"/>
  <c r="P224" i="14"/>
  <c r="P225" i="14" s="1"/>
  <c r="Q224" i="14"/>
  <c r="Q225" i="14" s="1"/>
  <c r="R224" i="14"/>
  <c r="R225" i="14" s="1"/>
  <c r="S224" i="14"/>
  <c r="T224" i="14"/>
  <c r="T225" i="14" s="1"/>
  <c r="U224" i="14"/>
  <c r="U225" i="14" s="1"/>
  <c r="V224" i="14"/>
  <c r="V225" i="14" s="1"/>
  <c r="W224" i="14"/>
  <c r="W225" i="14" s="1"/>
  <c r="X224" i="14"/>
  <c r="Y224" i="14"/>
  <c r="Y225" i="14" s="1"/>
  <c r="Z224" i="14"/>
  <c r="Z225" i="14" s="1"/>
  <c r="AA224" i="14"/>
  <c r="AA225" i="14" s="1"/>
  <c r="S225" i="14"/>
  <c r="X225" i="14"/>
  <c r="N227" i="14"/>
  <c r="N228" i="14" s="1"/>
  <c r="O227" i="14"/>
  <c r="O228" i="14" s="1"/>
  <c r="P227" i="14"/>
  <c r="P228" i="14" s="1"/>
  <c r="Q227" i="14"/>
  <c r="Q228" i="14" s="1"/>
  <c r="R227" i="14"/>
  <c r="R228" i="14" s="1"/>
  <c r="S227" i="14"/>
  <c r="T227" i="14"/>
  <c r="T228" i="14" s="1"/>
  <c r="U227" i="14"/>
  <c r="U228" i="14" s="1"/>
  <c r="V227" i="14"/>
  <c r="V228" i="14" s="1"/>
  <c r="W227" i="14"/>
  <c r="W228" i="14" s="1"/>
  <c r="X227" i="14"/>
  <c r="X228" i="14" s="1"/>
  <c r="Y227" i="14"/>
  <c r="Y228" i="14" s="1"/>
  <c r="Z227" i="14"/>
  <c r="Z228" i="14" s="1"/>
  <c r="AA227" i="14"/>
  <c r="AA228" i="14" s="1"/>
  <c r="S228" i="14"/>
  <c r="N230" i="14"/>
  <c r="N231" i="14" s="1"/>
  <c r="O230" i="14"/>
  <c r="O231" i="14" s="1"/>
  <c r="P230" i="14"/>
  <c r="P231" i="14" s="1"/>
  <c r="Q230" i="14"/>
  <c r="Q231" i="14" s="1"/>
  <c r="R230" i="14"/>
  <c r="R231" i="14" s="1"/>
  <c r="S230" i="14"/>
  <c r="T230" i="14"/>
  <c r="T231" i="14" s="1"/>
  <c r="U230" i="14"/>
  <c r="U231" i="14" s="1"/>
  <c r="V230" i="14"/>
  <c r="V231" i="14" s="1"/>
  <c r="W230" i="14"/>
  <c r="W231" i="14" s="1"/>
  <c r="X230" i="14"/>
  <c r="X231" i="14" s="1"/>
  <c r="Y230" i="14"/>
  <c r="Y231" i="14" s="1"/>
  <c r="Z230" i="14"/>
  <c r="Z231" i="14" s="1"/>
  <c r="AA230" i="14"/>
  <c r="S231" i="14"/>
  <c r="AA231" i="14"/>
  <c r="N233" i="14"/>
  <c r="N234" i="14" s="1"/>
  <c r="O233" i="14"/>
  <c r="O234" i="14" s="1"/>
  <c r="P233" i="14"/>
  <c r="P234" i="14" s="1"/>
  <c r="Q233" i="14"/>
  <c r="Q234" i="14" s="1"/>
  <c r="R233" i="14"/>
  <c r="R234" i="14" s="1"/>
  <c r="S233" i="14"/>
  <c r="T233" i="14"/>
  <c r="U233" i="14"/>
  <c r="U234" i="14" s="1"/>
  <c r="V233" i="14"/>
  <c r="V234" i="14" s="1"/>
  <c r="W233" i="14"/>
  <c r="X233" i="14"/>
  <c r="X234" i="14" s="1"/>
  <c r="Y233" i="14"/>
  <c r="Y234" i="14" s="1"/>
  <c r="Z233" i="14"/>
  <c r="Z234" i="14" s="1"/>
  <c r="AA233" i="14"/>
  <c r="AA234" i="14" s="1"/>
  <c r="S234" i="14"/>
  <c r="T234" i="14"/>
  <c r="W234" i="14"/>
  <c r="N236" i="14"/>
  <c r="N237" i="14" s="1"/>
  <c r="O236" i="14"/>
  <c r="O237" i="14" s="1"/>
  <c r="P236" i="14"/>
  <c r="P237" i="14" s="1"/>
  <c r="Q236" i="14"/>
  <c r="Q237" i="14" s="1"/>
  <c r="R236" i="14"/>
  <c r="R237" i="14" s="1"/>
  <c r="S236" i="14"/>
  <c r="S237" i="14" s="1"/>
  <c r="T236" i="14"/>
  <c r="T237" i="14" s="1"/>
  <c r="U236" i="14"/>
  <c r="U237" i="14" s="1"/>
  <c r="V236" i="14"/>
  <c r="V237" i="14" s="1"/>
  <c r="W236" i="14"/>
  <c r="X236" i="14"/>
  <c r="Y236" i="14"/>
  <c r="Y237" i="14" s="1"/>
  <c r="Z236" i="14"/>
  <c r="Z237" i="14" s="1"/>
  <c r="AA236" i="14"/>
  <c r="AA237" i="14" s="1"/>
  <c r="W237" i="14"/>
  <c r="X237" i="14"/>
  <c r="N239" i="14"/>
  <c r="N240" i="14" s="1"/>
  <c r="O239" i="14"/>
  <c r="P239" i="14"/>
  <c r="P240" i="14" s="1"/>
  <c r="Q239" i="14"/>
  <c r="Q240" i="14" s="1"/>
  <c r="R239" i="14"/>
  <c r="R240" i="14" s="1"/>
  <c r="S239" i="14"/>
  <c r="T239" i="14"/>
  <c r="T240" i="14" s="1"/>
  <c r="U239" i="14"/>
  <c r="U240" i="14" s="1"/>
  <c r="V239" i="14"/>
  <c r="V240" i="14" s="1"/>
  <c r="W239" i="14"/>
  <c r="X239" i="14"/>
  <c r="X240" i="14" s="1"/>
  <c r="Y239" i="14"/>
  <c r="Y240" i="14" s="1"/>
  <c r="Z239" i="14"/>
  <c r="Z240" i="14" s="1"/>
  <c r="AA239" i="14"/>
  <c r="AA240" i="14" s="1"/>
  <c r="O240" i="14"/>
  <c r="S240" i="14"/>
  <c r="W240" i="14"/>
  <c r="N242" i="14"/>
  <c r="N243" i="14" s="1"/>
  <c r="O242" i="14"/>
  <c r="P242" i="14"/>
  <c r="P243" i="14" s="1"/>
  <c r="Q242" i="14"/>
  <c r="Q243" i="14" s="1"/>
  <c r="R242" i="14"/>
  <c r="R243" i="14" s="1"/>
  <c r="S242" i="14"/>
  <c r="S243" i="14" s="1"/>
  <c r="T242" i="14"/>
  <c r="T243" i="14" s="1"/>
  <c r="U242" i="14"/>
  <c r="U243" i="14" s="1"/>
  <c r="V242" i="14"/>
  <c r="V243" i="14" s="1"/>
  <c r="W242" i="14"/>
  <c r="W243" i="14" s="1"/>
  <c r="X242" i="14"/>
  <c r="X243" i="14" s="1"/>
  <c r="Y242" i="14"/>
  <c r="Y243" i="14" s="1"/>
  <c r="Z242" i="14"/>
  <c r="Z243" i="14" s="1"/>
  <c r="AA242" i="14"/>
  <c r="AA243" i="14" s="1"/>
  <c r="O243" i="14"/>
  <c r="N245" i="14"/>
  <c r="N246" i="14" s="1"/>
  <c r="O245" i="14"/>
  <c r="O246" i="14" s="1"/>
  <c r="P245" i="14"/>
  <c r="P246" i="14" s="1"/>
  <c r="Q245" i="14"/>
  <c r="Q246" i="14" s="1"/>
  <c r="R245" i="14"/>
  <c r="R246" i="14" s="1"/>
  <c r="S245" i="14"/>
  <c r="T245" i="14"/>
  <c r="U245" i="14"/>
  <c r="U246" i="14" s="1"/>
  <c r="V245" i="14"/>
  <c r="V246" i="14" s="1"/>
  <c r="W245" i="14"/>
  <c r="W246" i="14" s="1"/>
  <c r="X245" i="14"/>
  <c r="X246" i="14" s="1"/>
  <c r="Y245" i="14"/>
  <c r="Y246" i="14" s="1"/>
  <c r="Z245" i="14"/>
  <c r="Z246" i="14" s="1"/>
  <c r="AA245" i="14"/>
  <c r="S246" i="14"/>
  <c r="T246" i="14"/>
  <c r="AA246" i="14"/>
  <c r="N248" i="14"/>
  <c r="N249" i="14" s="1"/>
  <c r="O248" i="14"/>
  <c r="O249" i="14" s="1"/>
  <c r="P248" i="14"/>
  <c r="P249" i="14" s="1"/>
  <c r="Q248" i="14"/>
  <c r="Q249" i="14" s="1"/>
  <c r="R248" i="14"/>
  <c r="R249" i="14" s="1"/>
  <c r="S248" i="14"/>
  <c r="S249" i="14" s="1"/>
  <c r="T248" i="14"/>
  <c r="T249" i="14" s="1"/>
  <c r="U248" i="14"/>
  <c r="U249" i="14" s="1"/>
  <c r="V248" i="14"/>
  <c r="V249" i="14" s="1"/>
  <c r="W248" i="14"/>
  <c r="W249" i="14" s="1"/>
  <c r="X248" i="14"/>
  <c r="X249" i="14" s="1"/>
  <c r="Y248" i="14"/>
  <c r="Y249" i="14" s="1"/>
  <c r="Z248" i="14"/>
  <c r="Z249" i="14" s="1"/>
  <c r="AA248" i="14"/>
  <c r="AA249" i="14" s="1"/>
  <c r="N251" i="14"/>
  <c r="N252" i="14" s="1"/>
  <c r="O251" i="14"/>
  <c r="O252" i="14" s="1"/>
  <c r="P251" i="14"/>
  <c r="P252" i="14" s="1"/>
  <c r="Q251" i="14"/>
  <c r="Q252" i="14" s="1"/>
  <c r="R251" i="14"/>
  <c r="R252" i="14" s="1"/>
  <c r="S251" i="14"/>
  <c r="T251" i="14"/>
  <c r="U251" i="14"/>
  <c r="U252" i="14" s="1"/>
  <c r="V251" i="14"/>
  <c r="V252" i="14" s="1"/>
  <c r="W251" i="14"/>
  <c r="X251" i="14"/>
  <c r="X252" i="14" s="1"/>
  <c r="Y251" i="14"/>
  <c r="Y252" i="14" s="1"/>
  <c r="Z251" i="14"/>
  <c r="Z252" i="14" s="1"/>
  <c r="AA251" i="14"/>
  <c r="AA252" i="14" s="1"/>
  <c r="S252" i="14"/>
  <c r="T252" i="14"/>
  <c r="W252" i="14"/>
  <c r="N254" i="14"/>
  <c r="N255" i="14" s="1"/>
  <c r="O254" i="14"/>
  <c r="P254" i="14"/>
  <c r="Q254" i="14"/>
  <c r="Q255" i="14" s="1"/>
  <c r="R254" i="14"/>
  <c r="R255" i="14" s="1"/>
  <c r="S254" i="14"/>
  <c r="S255" i="14" s="1"/>
  <c r="T254" i="14"/>
  <c r="T255" i="14" s="1"/>
  <c r="U254" i="14"/>
  <c r="U255" i="14" s="1"/>
  <c r="V254" i="14"/>
  <c r="V255" i="14" s="1"/>
  <c r="W254" i="14"/>
  <c r="W255" i="14" s="1"/>
  <c r="X254" i="14"/>
  <c r="Y254" i="14"/>
  <c r="Y255" i="14" s="1"/>
  <c r="Z254" i="14"/>
  <c r="Z255" i="14" s="1"/>
  <c r="AA254" i="14"/>
  <c r="AA255" i="14" s="1"/>
  <c r="O255" i="14"/>
  <c r="P255" i="14"/>
  <c r="X255" i="14"/>
  <c r="N257" i="14"/>
  <c r="N258" i="14" s="1"/>
  <c r="O257" i="14"/>
  <c r="O258" i="14" s="1"/>
  <c r="P257" i="14"/>
  <c r="P258" i="14" s="1"/>
  <c r="Q257" i="14"/>
  <c r="Q258" i="14" s="1"/>
  <c r="R257" i="14"/>
  <c r="R258" i="14" s="1"/>
  <c r="S257" i="14"/>
  <c r="S258" i="14" s="1"/>
  <c r="T257" i="14"/>
  <c r="U257" i="14"/>
  <c r="U258" i="14" s="1"/>
  <c r="V257" i="14"/>
  <c r="V258" i="14" s="1"/>
  <c r="W257" i="14"/>
  <c r="W258" i="14" s="1"/>
  <c r="X257" i="14"/>
  <c r="X258" i="14" s="1"/>
  <c r="Y257" i="14"/>
  <c r="Y258" i="14" s="1"/>
  <c r="Z257" i="14"/>
  <c r="Z258" i="14" s="1"/>
  <c r="AA257" i="14"/>
  <c r="T258" i="14"/>
  <c r="AA258" i="14"/>
  <c r="N260" i="14"/>
  <c r="N261" i="14" s="1"/>
  <c r="O260" i="14"/>
  <c r="O261" i="14" s="1"/>
  <c r="P260" i="14"/>
  <c r="P261" i="14" s="1"/>
  <c r="Q260" i="14"/>
  <c r="Q261" i="14" s="1"/>
  <c r="R260" i="14"/>
  <c r="S260" i="14"/>
  <c r="T260" i="14"/>
  <c r="T261" i="14" s="1"/>
  <c r="U260" i="14"/>
  <c r="U261" i="14" s="1"/>
  <c r="V260" i="14"/>
  <c r="V261" i="14" s="1"/>
  <c r="W260" i="14"/>
  <c r="W261" i="14" s="1"/>
  <c r="X260" i="14"/>
  <c r="Y260" i="14"/>
  <c r="Y261" i="14" s="1"/>
  <c r="Z260" i="14"/>
  <c r="AA260" i="14"/>
  <c r="R261" i="14"/>
  <c r="S261" i="14"/>
  <c r="X261" i="14"/>
  <c r="Z261" i="14"/>
  <c r="AA261" i="14"/>
  <c r="N263" i="14"/>
  <c r="N264" i="14" s="1"/>
  <c r="O263" i="14"/>
  <c r="O264" i="14" s="1"/>
  <c r="P263" i="14"/>
  <c r="P264" i="14" s="1"/>
  <c r="Q263" i="14"/>
  <c r="Q264" i="14" s="1"/>
  <c r="R263" i="14"/>
  <c r="R264" i="14" s="1"/>
  <c r="S263" i="14"/>
  <c r="T263" i="14"/>
  <c r="T264" i="14" s="1"/>
  <c r="U263" i="14"/>
  <c r="U264" i="14" s="1"/>
  <c r="V263" i="14"/>
  <c r="W263" i="14"/>
  <c r="X263" i="14"/>
  <c r="X264" i="14" s="1"/>
  <c r="Y263" i="14"/>
  <c r="Y264" i="14" s="1"/>
  <c r="Z263" i="14"/>
  <c r="Z264" i="14" s="1"/>
  <c r="AA263" i="14"/>
  <c r="AA264" i="14" s="1"/>
  <c r="S264" i="14"/>
  <c r="V264" i="14"/>
  <c r="W264" i="14"/>
  <c r="N266" i="14"/>
  <c r="N267" i="14" s="1"/>
  <c r="O266" i="14"/>
  <c r="O267" i="14" s="1"/>
  <c r="P266" i="14"/>
  <c r="P267" i="14" s="1"/>
  <c r="Q266" i="14"/>
  <c r="Q267" i="14" s="1"/>
  <c r="R266" i="14"/>
  <c r="R267" i="14" s="1"/>
  <c r="S266" i="14"/>
  <c r="S267" i="14" s="1"/>
  <c r="T266" i="14"/>
  <c r="T267" i="14" s="1"/>
  <c r="U266" i="14"/>
  <c r="U267" i="14" s="1"/>
  <c r="V266" i="14"/>
  <c r="V267" i="14" s="1"/>
  <c r="W266" i="14"/>
  <c r="W267" i="14" s="1"/>
  <c r="X266" i="14"/>
  <c r="X267" i="14" s="1"/>
  <c r="Y266" i="14"/>
  <c r="Y267" i="14" s="1"/>
  <c r="Z266" i="14"/>
  <c r="Z267" i="14" s="1"/>
  <c r="AA266" i="14"/>
  <c r="AA267" i="14"/>
  <c r="N269" i="14"/>
  <c r="N270" i="14" s="1"/>
  <c r="O269" i="14"/>
  <c r="O270" i="14" s="1"/>
  <c r="P269" i="14"/>
  <c r="P270" i="14" s="1"/>
  <c r="Q269" i="14"/>
  <c r="Q270" i="14" s="1"/>
  <c r="R269" i="14"/>
  <c r="R270" i="14" s="1"/>
  <c r="S269" i="14"/>
  <c r="S270" i="14" s="1"/>
  <c r="T269" i="14"/>
  <c r="T270" i="14" s="1"/>
  <c r="U269" i="14"/>
  <c r="U270" i="14" s="1"/>
  <c r="V269" i="14"/>
  <c r="V270" i="14" s="1"/>
  <c r="W269" i="14"/>
  <c r="W270" i="14" s="1"/>
  <c r="X269" i="14"/>
  <c r="X270" i="14" s="1"/>
  <c r="Y269" i="14"/>
  <c r="Y270" i="14" s="1"/>
  <c r="Z269" i="14"/>
  <c r="Z270" i="14" s="1"/>
  <c r="AA269" i="14"/>
  <c r="AA270" i="14" s="1"/>
  <c r="N272" i="14"/>
  <c r="N273" i="14" s="1"/>
  <c r="O272" i="14"/>
  <c r="O273" i="14" s="1"/>
  <c r="P272" i="14"/>
  <c r="P273" i="14" s="1"/>
  <c r="Q272" i="14"/>
  <c r="Q273" i="14" s="1"/>
  <c r="R272" i="14"/>
  <c r="S272" i="14"/>
  <c r="T272" i="14"/>
  <c r="T273" i="14" s="1"/>
  <c r="U272" i="14"/>
  <c r="U273" i="14" s="1"/>
  <c r="V272" i="14"/>
  <c r="V273" i="14" s="1"/>
  <c r="W272" i="14"/>
  <c r="W273" i="14" s="1"/>
  <c r="X272" i="14"/>
  <c r="X273" i="14" s="1"/>
  <c r="Y272" i="14"/>
  <c r="Y273" i="14" s="1"/>
  <c r="Z272" i="14"/>
  <c r="AA272" i="14"/>
  <c r="R273" i="14"/>
  <c r="S273" i="14"/>
  <c r="Z273" i="14"/>
  <c r="AA273" i="14"/>
  <c r="N275" i="14"/>
  <c r="O275" i="14"/>
  <c r="O276" i="14" s="1"/>
  <c r="P275" i="14"/>
  <c r="P276" i="14" s="1"/>
  <c r="Q275" i="14"/>
  <c r="Q276" i="14" s="1"/>
  <c r="R275" i="14"/>
  <c r="R276" i="14" s="1"/>
  <c r="S275" i="14"/>
  <c r="S276" i="14" s="1"/>
  <c r="T275" i="14"/>
  <c r="U275" i="14"/>
  <c r="U276" i="14" s="1"/>
  <c r="V275" i="14"/>
  <c r="W275" i="14"/>
  <c r="X275" i="14"/>
  <c r="X276" i="14" s="1"/>
  <c r="Y275" i="14"/>
  <c r="Y276" i="14" s="1"/>
  <c r="Z275" i="14"/>
  <c r="Z276" i="14" s="1"/>
  <c r="AA275" i="14"/>
  <c r="AA276" i="14" s="1"/>
  <c r="N276" i="14"/>
  <c r="T276" i="14"/>
  <c r="V276" i="14"/>
  <c r="W276" i="14"/>
  <c r="N71" i="14"/>
  <c r="N72" i="14" s="1"/>
  <c r="O71" i="14"/>
  <c r="O72" i="14" s="1"/>
  <c r="P71" i="14"/>
  <c r="P72" i="14" s="1"/>
  <c r="Q71" i="14"/>
  <c r="Q72" i="14" s="1"/>
  <c r="R71" i="14"/>
  <c r="R72" i="14" s="1"/>
  <c r="S71" i="14"/>
  <c r="S72" i="14" s="1"/>
  <c r="T71" i="14"/>
  <c r="U71" i="14"/>
  <c r="U72" i="14" s="1"/>
  <c r="V71" i="14"/>
  <c r="V72" i="14" s="1"/>
  <c r="W71" i="14"/>
  <c r="W72" i="14" s="1"/>
  <c r="X71" i="14"/>
  <c r="X72" i="14" s="1"/>
  <c r="Y71" i="14"/>
  <c r="Y72" i="14" s="1"/>
  <c r="Z71" i="14"/>
  <c r="Z72" i="14" s="1"/>
  <c r="AA71" i="14"/>
  <c r="AA72" i="14" s="1"/>
  <c r="T72" i="14"/>
  <c r="N74" i="14"/>
  <c r="N75" i="14" s="1"/>
  <c r="O74" i="14"/>
  <c r="O75" i="14" s="1"/>
  <c r="P74" i="14"/>
  <c r="P75" i="14" s="1"/>
  <c r="Q74" i="14"/>
  <c r="R74" i="14"/>
  <c r="S74" i="14"/>
  <c r="T74" i="14"/>
  <c r="T75" i="14" s="1"/>
  <c r="U74" i="14"/>
  <c r="U75" i="14" s="1"/>
  <c r="V74" i="14"/>
  <c r="V75" i="14" s="1"/>
  <c r="W74" i="14"/>
  <c r="W75" i="14" s="1"/>
  <c r="X74" i="14"/>
  <c r="X75" i="14" s="1"/>
  <c r="Y74" i="14"/>
  <c r="Z74" i="14"/>
  <c r="AA74" i="14"/>
  <c r="AA75" i="14" s="1"/>
  <c r="Q75" i="14"/>
  <c r="R75" i="14"/>
  <c r="S75" i="14"/>
  <c r="Y75" i="14"/>
  <c r="Z75" i="14"/>
  <c r="N77" i="14"/>
  <c r="N78" i="14" s="1"/>
  <c r="O77" i="14"/>
  <c r="O78" i="14" s="1"/>
  <c r="P77" i="14"/>
  <c r="P78" i="14" s="1"/>
  <c r="Q77" i="14"/>
  <c r="Q78" i="14" s="1"/>
  <c r="R77" i="14"/>
  <c r="R78" i="14" s="1"/>
  <c r="S77" i="14"/>
  <c r="S78" i="14" s="1"/>
  <c r="T77" i="14"/>
  <c r="T78" i="14" s="1"/>
  <c r="U77" i="14"/>
  <c r="U78" i="14" s="1"/>
  <c r="V77" i="14"/>
  <c r="V78" i="14" s="1"/>
  <c r="W77" i="14"/>
  <c r="W78" i="14" s="1"/>
  <c r="X77" i="14"/>
  <c r="X78" i="14" s="1"/>
  <c r="Y77" i="14"/>
  <c r="Y78" i="14" s="1"/>
  <c r="Z77" i="14"/>
  <c r="Z78" i="14" s="1"/>
  <c r="AA77" i="14"/>
  <c r="AA78" i="14" s="1"/>
  <c r="N56" i="14"/>
  <c r="N57" i="14" s="1"/>
  <c r="O56" i="14"/>
  <c r="O57" i="14" s="1"/>
  <c r="P56" i="14"/>
  <c r="P57" i="14" s="1"/>
  <c r="Q56" i="14"/>
  <c r="Q57" i="14" s="1"/>
  <c r="R56" i="14"/>
  <c r="S56" i="14"/>
  <c r="T56" i="14"/>
  <c r="T57" i="14" s="1"/>
  <c r="U56" i="14"/>
  <c r="U57" i="14" s="1"/>
  <c r="V56" i="14"/>
  <c r="V57" i="14" s="1"/>
  <c r="W56" i="14"/>
  <c r="W57" i="14" s="1"/>
  <c r="X56" i="14"/>
  <c r="X57" i="14" s="1"/>
  <c r="Y56" i="14"/>
  <c r="Y57" i="14" s="1"/>
  <c r="Z56" i="14"/>
  <c r="AA56" i="14"/>
  <c r="R57" i="14"/>
  <c r="S57" i="14"/>
  <c r="Z57" i="14"/>
  <c r="AA57" i="14"/>
  <c r="N59" i="14"/>
  <c r="N60" i="14" s="1"/>
  <c r="O59" i="14"/>
  <c r="O60" i="14" s="1"/>
  <c r="P59" i="14"/>
  <c r="P60" i="14" s="1"/>
  <c r="Q59" i="14"/>
  <c r="R59" i="14"/>
  <c r="S59" i="14"/>
  <c r="T59" i="14"/>
  <c r="T60" i="14" s="1"/>
  <c r="U59" i="14"/>
  <c r="U60" i="14" s="1"/>
  <c r="V59" i="14"/>
  <c r="V60" i="14" s="1"/>
  <c r="W59" i="14"/>
  <c r="W60" i="14" s="1"/>
  <c r="X59" i="14"/>
  <c r="X60" i="14" s="1"/>
  <c r="Y59" i="14"/>
  <c r="Y60" i="14" s="1"/>
  <c r="Z59" i="14"/>
  <c r="Z60" i="14" s="1"/>
  <c r="AA59" i="14"/>
  <c r="AA60" i="14" s="1"/>
  <c r="Q60" i="14"/>
  <c r="R60" i="14"/>
  <c r="S60" i="14"/>
  <c r="N62" i="14"/>
  <c r="N63" i="14" s="1"/>
  <c r="O62" i="14"/>
  <c r="O63" i="14" s="1"/>
  <c r="P62" i="14"/>
  <c r="P63" i="14" s="1"/>
  <c r="Q62" i="14"/>
  <c r="Q63" i="14" s="1"/>
  <c r="R62" i="14"/>
  <c r="R63" i="14" s="1"/>
  <c r="S62" i="14"/>
  <c r="S63" i="14" s="1"/>
  <c r="T62" i="14"/>
  <c r="T63" i="14" s="1"/>
  <c r="U62" i="14"/>
  <c r="V62" i="14"/>
  <c r="V63" i="14" s="1"/>
  <c r="W62" i="14"/>
  <c r="W63" i="14" s="1"/>
  <c r="X62" i="14"/>
  <c r="X63" i="14" s="1"/>
  <c r="Y62" i="14"/>
  <c r="Y63" i="14" s="1"/>
  <c r="Z62" i="14"/>
  <c r="Z63" i="14" s="1"/>
  <c r="AA62" i="14"/>
  <c r="AA63" i="14" s="1"/>
  <c r="U63" i="14"/>
  <c r="N65" i="14"/>
  <c r="N66" i="14" s="1"/>
  <c r="O65" i="14"/>
  <c r="O66" i="14" s="1"/>
  <c r="P65" i="14"/>
  <c r="P66" i="14" s="1"/>
  <c r="Q65" i="14"/>
  <c r="Q66" i="14" s="1"/>
  <c r="R65" i="14"/>
  <c r="R66" i="14" s="1"/>
  <c r="S65" i="14"/>
  <c r="T65" i="14"/>
  <c r="T66" i="14" s="1"/>
  <c r="U65" i="14"/>
  <c r="V65" i="14"/>
  <c r="W65" i="14"/>
  <c r="W66" i="14" s="1"/>
  <c r="X65" i="14"/>
  <c r="X66" i="14" s="1"/>
  <c r="Y65" i="14"/>
  <c r="Y66" i="14" s="1"/>
  <c r="Z65" i="14"/>
  <c r="Z66" i="14" s="1"/>
  <c r="AA65" i="14"/>
  <c r="S66" i="14"/>
  <c r="U66" i="14"/>
  <c r="V66" i="14"/>
  <c r="AA66" i="14"/>
  <c r="N68" i="14"/>
  <c r="N69" i="14" s="1"/>
  <c r="O68" i="14"/>
  <c r="O69" i="14" s="1"/>
  <c r="P68" i="14"/>
  <c r="P69" i="14" s="1"/>
  <c r="Q68" i="14"/>
  <c r="Q69" i="14" s="1"/>
  <c r="R68" i="14"/>
  <c r="R69" i="14" s="1"/>
  <c r="S68" i="14"/>
  <c r="S69" i="14" s="1"/>
  <c r="T68" i="14"/>
  <c r="T69" i="14" s="1"/>
  <c r="U68" i="14"/>
  <c r="V68" i="14"/>
  <c r="W68" i="14"/>
  <c r="X68" i="14"/>
  <c r="X69" i="14" s="1"/>
  <c r="Y68" i="14"/>
  <c r="Z68" i="14"/>
  <c r="Z69" i="14" s="1"/>
  <c r="AA68" i="14"/>
  <c r="AA69" i="14" s="1"/>
  <c r="U69" i="14"/>
  <c r="V69" i="14"/>
  <c r="W69" i="14"/>
  <c r="Y69" i="14"/>
  <c r="N29" i="14"/>
  <c r="O29" i="14"/>
  <c r="P29" i="14"/>
  <c r="P30" i="14" s="1"/>
  <c r="Q29" i="14"/>
  <c r="Q30" i="14" s="1"/>
  <c r="R29" i="14"/>
  <c r="R30" i="14" s="1"/>
  <c r="N30" i="14"/>
  <c r="O30" i="14"/>
  <c r="N32" i="14"/>
  <c r="N33" i="14" s="1"/>
  <c r="O32" i="14"/>
  <c r="O33" i="14" s="1"/>
  <c r="P32" i="14"/>
  <c r="P33" i="14" s="1"/>
  <c r="Q32" i="14"/>
  <c r="Q33" i="14" s="1"/>
  <c r="R32" i="14"/>
  <c r="S32" i="14"/>
  <c r="T32" i="14"/>
  <c r="T33" i="14" s="1"/>
  <c r="U32" i="14"/>
  <c r="U33" i="14" s="1"/>
  <c r="V32" i="14"/>
  <c r="V33" i="14" s="1"/>
  <c r="W32" i="14"/>
  <c r="W33" i="14" s="1"/>
  <c r="X32" i="14"/>
  <c r="X33" i="14" s="1"/>
  <c r="Y32" i="14"/>
  <c r="Y33" i="14" s="1"/>
  <c r="Z32" i="14"/>
  <c r="AA32" i="14"/>
  <c r="AA33" i="14" s="1"/>
  <c r="R33" i="14"/>
  <c r="S33" i="14"/>
  <c r="Z33" i="14"/>
  <c r="N35" i="14"/>
  <c r="N36" i="14" s="1"/>
  <c r="O35" i="14"/>
  <c r="P35" i="14"/>
  <c r="Q36" i="14"/>
  <c r="R35" i="14"/>
  <c r="R36" i="14" s="1"/>
  <c r="S35" i="14"/>
  <c r="S36" i="14" s="1"/>
  <c r="T35" i="14"/>
  <c r="T36" i="14" s="1"/>
  <c r="U35" i="14"/>
  <c r="U36" i="14" s="1"/>
  <c r="V35" i="14"/>
  <c r="V36" i="14" s="1"/>
  <c r="W35" i="14"/>
  <c r="W36" i="14" s="1"/>
  <c r="X35" i="14"/>
  <c r="X36" i="14" s="1"/>
  <c r="Y35" i="14"/>
  <c r="Y36" i="14" s="1"/>
  <c r="Z35" i="14"/>
  <c r="Z36" i="14" s="1"/>
  <c r="AA35" i="14"/>
  <c r="AA36" i="14" s="1"/>
  <c r="O36" i="14"/>
  <c r="P36" i="14"/>
  <c r="N38" i="14"/>
  <c r="N39" i="14" s="1"/>
  <c r="O38" i="14"/>
  <c r="O39" i="14" s="1"/>
  <c r="P38" i="14"/>
  <c r="P39" i="14" s="1"/>
  <c r="Q38" i="14"/>
  <c r="Q39" i="14" s="1"/>
  <c r="R38" i="14"/>
  <c r="R39" i="14" s="1"/>
  <c r="S38" i="14"/>
  <c r="S39" i="14" s="1"/>
  <c r="T38" i="14"/>
  <c r="T39" i="14" s="1"/>
  <c r="U38" i="14"/>
  <c r="U39" i="14" s="1"/>
  <c r="V38" i="14"/>
  <c r="V39" i="14" s="1"/>
  <c r="W38" i="14"/>
  <c r="W39" i="14" s="1"/>
  <c r="X38" i="14"/>
  <c r="X39" i="14" s="1"/>
  <c r="Y38" i="14"/>
  <c r="Y39" i="14" s="1"/>
  <c r="Z38" i="14"/>
  <c r="Z39" i="14" s="1"/>
  <c r="AA38" i="14"/>
  <c r="AA39" i="14" s="1"/>
  <c r="N41" i="14"/>
  <c r="N42" i="14" s="1"/>
  <c r="O41" i="14"/>
  <c r="O42" i="14" s="1"/>
  <c r="P41" i="14"/>
  <c r="P42" i="14" s="1"/>
  <c r="Q41" i="14"/>
  <c r="Q42" i="14" s="1"/>
  <c r="R41" i="14"/>
  <c r="R42" i="14" s="1"/>
  <c r="S41" i="14"/>
  <c r="S42" i="14" s="1"/>
  <c r="T41" i="14"/>
  <c r="T42" i="14" s="1"/>
  <c r="U41" i="14"/>
  <c r="U42" i="14" s="1"/>
  <c r="V41" i="14"/>
  <c r="V42" i="14" s="1"/>
  <c r="W41" i="14"/>
  <c r="W42" i="14" s="1"/>
  <c r="X41" i="14"/>
  <c r="X42" i="14" s="1"/>
  <c r="Y41" i="14"/>
  <c r="Y42" i="14" s="1"/>
  <c r="Z41" i="14"/>
  <c r="Z42" i="14" s="1"/>
  <c r="AA41" i="14"/>
  <c r="AA42" i="14" s="1"/>
  <c r="N44" i="14"/>
  <c r="N45" i="14" s="1"/>
  <c r="O44" i="14"/>
  <c r="O45" i="14" s="1"/>
  <c r="P44" i="14"/>
  <c r="P45" i="14" s="1"/>
  <c r="Q44" i="14"/>
  <c r="Q45" i="14" s="1"/>
  <c r="R44" i="14"/>
  <c r="R45" i="14" s="1"/>
  <c r="S44" i="14"/>
  <c r="S45" i="14" s="1"/>
  <c r="T44" i="14"/>
  <c r="T45" i="14" s="1"/>
  <c r="U44" i="14"/>
  <c r="U45" i="14" s="1"/>
  <c r="V44" i="14"/>
  <c r="V45" i="14" s="1"/>
  <c r="W44" i="14"/>
  <c r="W45" i="14" s="1"/>
  <c r="X44" i="14"/>
  <c r="X45" i="14" s="1"/>
  <c r="Y44" i="14"/>
  <c r="Y45" i="14" s="1"/>
  <c r="Z44" i="14"/>
  <c r="Z45" i="14" s="1"/>
  <c r="AA44" i="14"/>
  <c r="AA45" i="14" s="1"/>
  <c r="N47" i="14"/>
  <c r="N48" i="14" s="1"/>
  <c r="O47" i="14"/>
  <c r="O48" i="14" s="1"/>
  <c r="P47" i="14"/>
  <c r="P48" i="14" s="1"/>
  <c r="Q47" i="14"/>
  <c r="Q48" i="14" s="1"/>
  <c r="R47" i="14"/>
  <c r="R48" i="14" s="1"/>
  <c r="S47" i="14"/>
  <c r="S48" i="14" s="1"/>
  <c r="T47" i="14"/>
  <c r="T48" i="14" s="1"/>
  <c r="U47" i="14"/>
  <c r="U48" i="14" s="1"/>
  <c r="V47" i="14"/>
  <c r="W47" i="14"/>
  <c r="W48" i="14" s="1"/>
  <c r="X47" i="14"/>
  <c r="X48" i="14" s="1"/>
  <c r="Y47" i="14"/>
  <c r="Y48" i="14" s="1"/>
  <c r="Z47" i="14"/>
  <c r="Z48" i="14" s="1"/>
  <c r="AA47" i="14"/>
  <c r="AA48" i="14" s="1"/>
  <c r="V48" i="14"/>
  <c r="N50" i="14"/>
  <c r="N51" i="14" s="1"/>
  <c r="O50" i="14"/>
  <c r="O51" i="14" s="1"/>
  <c r="P50" i="14"/>
  <c r="P51" i="14" s="1"/>
  <c r="Q50" i="14"/>
  <c r="Q51" i="14" s="1"/>
  <c r="R50" i="14"/>
  <c r="S50" i="14"/>
  <c r="S51" i="14" s="1"/>
  <c r="T50" i="14"/>
  <c r="T51" i="14" s="1"/>
  <c r="U50" i="14"/>
  <c r="U51" i="14" s="1"/>
  <c r="V50" i="14"/>
  <c r="V51" i="14" s="1"/>
  <c r="W50" i="14"/>
  <c r="W51" i="14" s="1"/>
  <c r="X50" i="14"/>
  <c r="X51" i="14" s="1"/>
  <c r="Y50" i="14"/>
  <c r="Y51" i="14" s="1"/>
  <c r="Z50" i="14"/>
  <c r="Z51" i="14" s="1"/>
  <c r="AA50" i="14"/>
  <c r="AA51" i="14" s="1"/>
  <c r="R51" i="14"/>
  <c r="N53" i="14"/>
  <c r="N54" i="14" s="1"/>
  <c r="O53" i="14"/>
  <c r="O54" i="14" s="1"/>
  <c r="P53" i="14"/>
  <c r="P54" i="14" s="1"/>
  <c r="Q53" i="14"/>
  <c r="Q54" i="14" s="1"/>
  <c r="R53" i="14"/>
  <c r="R54" i="14" s="1"/>
  <c r="S53" i="14"/>
  <c r="S54" i="14" s="1"/>
  <c r="T53" i="14"/>
  <c r="T54" i="14" s="1"/>
  <c r="U53" i="14"/>
  <c r="U54" i="14" s="1"/>
  <c r="V53" i="14"/>
  <c r="V54" i="14" s="1"/>
  <c r="W53" i="14"/>
  <c r="X53" i="14"/>
  <c r="X54" i="14" s="1"/>
  <c r="Y53" i="14"/>
  <c r="Y54" i="14" s="1"/>
  <c r="Z53" i="14"/>
  <c r="Z54" i="14" s="1"/>
  <c r="AA53" i="14"/>
  <c r="AA54" i="14" s="1"/>
  <c r="W54" i="14"/>
  <c r="N5" i="14"/>
  <c r="O5" i="14"/>
  <c r="P5" i="14"/>
  <c r="P6" i="14" s="1"/>
  <c r="Q5" i="14"/>
  <c r="Q6" i="14" s="1"/>
  <c r="R5" i="14"/>
  <c r="R6" i="14" s="1"/>
  <c r="S5" i="14"/>
  <c r="S6" i="14" s="1"/>
  <c r="T5" i="14"/>
  <c r="T6" i="14" s="1"/>
  <c r="U5" i="14"/>
  <c r="U6" i="14" s="1"/>
  <c r="V5" i="14"/>
  <c r="V6" i="14" s="1"/>
  <c r="W5" i="14"/>
  <c r="X5" i="14"/>
  <c r="X6" i="14" s="1"/>
  <c r="Y5" i="14"/>
  <c r="Y6" i="14" s="1"/>
  <c r="Z5" i="14"/>
  <c r="Z6" i="14" s="1"/>
  <c r="AA5" i="14"/>
  <c r="AA6" i="14" s="1"/>
  <c r="N6" i="14"/>
  <c r="O6" i="14"/>
  <c r="W6" i="14"/>
  <c r="N8" i="14"/>
  <c r="N9" i="14" s="1"/>
  <c r="O8" i="14"/>
  <c r="O9" i="14" s="1"/>
  <c r="P8" i="14"/>
  <c r="P9" i="14" s="1"/>
  <c r="Q8" i="14"/>
  <c r="Q9" i="14" s="1"/>
  <c r="R8" i="14"/>
  <c r="S8" i="14"/>
  <c r="S9" i="14" s="1"/>
  <c r="T8" i="14"/>
  <c r="T9" i="14" s="1"/>
  <c r="U8" i="14"/>
  <c r="V8" i="14"/>
  <c r="V9" i="14" s="1"/>
  <c r="W8" i="14"/>
  <c r="W9" i="14" s="1"/>
  <c r="X8" i="14"/>
  <c r="X9" i="14" s="1"/>
  <c r="Y8" i="14"/>
  <c r="Y9" i="14" s="1"/>
  <c r="Z8" i="14"/>
  <c r="AA8" i="14"/>
  <c r="AA9" i="14" s="1"/>
  <c r="R9" i="14"/>
  <c r="U9" i="14"/>
  <c r="Z9" i="14"/>
  <c r="N11" i="14"/>
  <c r="N12" i="14" s="1"/>
  <c r="O11" i="14"/>
  <c r="O12" i="14" s="1"/>
  <c r="P11" i="14"/>
  <c r="P12" i="14" s="1"/>
  <c r="Q11" i="14"/>
  <c r="R11" i="14"/>
  <c r="R12" i="14" s="1"/>
  <c r="S11" i="14"/>
  <c r="S12" i="14" s="1"/>
  <c r="T11" i="14"/>
  <c r="T12" i="14" s="1"/>
  <c r="U11" i="14"/>
  <c r="U12" i="14" s="1"/>
  <c r="V11" i="14"/>
  <c r="V12" i="14" s="1"/>
  <c r="W11" i="14"/>
  <c r="W12" i="14" s="1"/>
  <c r="X11" i="14"/>
  <c r="X12" i="14" s="1"/>
  <c r="Y11" i="14"/>
  <c r="Z11" i="14"/>
  <c r="AA11" i="14"/>
  <c r="AA12" i="14" s="1"/>
  <c r="Q12" i="14"/>
  <c r="Y12" i="14"/>
  <c r="Z12" i="14"/>
  <c r="N14" i="14"/>
  <c r="N15" i="14" s="1"/>
  <c r="O14" i="14"/>
  <c r="O15" i="14" s="1"/>
  <c r="P14" i="14"/>
  <c r="P15" i="14" s="1"/>
  <c r="Q14" i="14"/>
  <c r="Q15" i="14" s="1"/>
  <c r="R14" i="14"/>
  <c r="S14" i="14"/>
  <c r="T14" i="14"/>
  <c r="T15" i="14" s="1"/>
  <c r="U14" i="14"/>
  <c r="U15" i="14" s="1"/>
  <c r="V14" i="14"/>
  <c r="V15" i="14" s="1"/>
  <c r="W14" i="14"/>
  <c r="W15" i="14" s="1"/>
  <c r="X14" i="14"/>
  <c r="X15" i="14" s="1"/>
  <c r="Y14" i="14"/>
  <c r="Y15" i="14" s="1"/>
  <c r="Z14" i="14"/>
  <c r="Z15" i="14" s="1"/>
  <c r="AA14" i="14"/>
  <c r="AA15" i="14" s="1"/>
  <c r="R15" i="14"/>
  <c r="S15" i="14"/>
  <c r="N17" i="14"/>
  <c r="N18" i="14" s="1"/>
  <c r="O17" i="14"/>
  <c r="O18" i="14" s="1"/>
  <c r="P17" i="14"/>
  <c r="P18" i="14" s="1"/>
  <c r="Q17" i="14"/>
  <c r="Q18" i="14" s="1"/>
  <c r="R17" i="14"/>
  <c r="R18" i="14" s="1"/>
  <c r="S17" i="14"/>
  <c r="S18" i="14" s="1"/>
  <c r="T17" i="14"/>
  <c r="T18" i="14" s="1"/>
  <c r="U17" i="14"/>
  <c r="U18" i="14" s="1"/>
  <c r="V17" i="14"/>
  <c r="V18" i="14" s="1"/>
  <c r="W17" i="14"/>
  <c r="W18" i="14" s="1"/>
  <c r="X17" i="14"/>
  <c r="X18" i="14" s="1"/>
  <c r="Y17" i="14"/>
  <c r="Y18" i="14" s="1"/>
  <c r="Z17" i="14"/>
  <c r="Z18" i="14" s="1"/>
  <c r="AA17" i="14"/>
  <c r="AA18" i="14" s="1"/>
  <c r="N20" i="14"/>
  <c r="N21" i="14" s="1"/>
  <c r="O20" i="14"/>
  <c r="O21" i="14" s="1"/>
  <c r="P20" i="14"/>
  <c r="P21" i="14" s="1"/>
  <c r="Q20" i="14"/>
  <c r="Q21" i="14" s="1"/>
  <c r="R20" i="14"/>
  <c r="R21" i="14" s="1"/>
  <c r="S20" i="14"/>
  <c r="S21" i="14" s="1"/>
  <c r="T20" i="14"/>
  <c r="U20" i="14"/>
  <c r="V20" i="14"/>
  <c r="V21" i="14" s="1"/>
  <c r="W20" i="14"/>
  <c r="W21" i="14" s="1"/>
  <c r="X20" i="14"/>
  <c r="X21" i="14" s="1"/>
  <c r="Y20" i="14"/>
  <c r="Y21" i="14" s="1"/>
  <c r="Z20" i="14"/>
  <c r="Z21" i="14" s="1"/>
  <c r="AA20" i="14"/>
  <c r="AA21" i="14" s="1"/>
  <c r="T21" i="14"/>
  <c r="U21" i="14"/>
  <c r="N23" i="14"/>
  <c r="N24" i="14" s="1"/>
  <c r="O23" i="14"/>
  <c r="O24" i="14" s="1"/>
  <c r="P23" i="14"/>
  <c r="P24" i="14" s="1"/>
  <c r="Q23" i="14"/>
  <c r="Q24" i="14" s="1"/>
  <c r="R23" i="14"/>
  <c r="R24" i="14" s="1"/>
  <c r="S23" i="14"/>
  <c r="S24" i="14" s="1"/>
  <c r="T23" i="14"/>
  <c r="T24" i="14" s="1"/>
  <c r="U23" i="14"/>
  <c r="U24" i="14" s="1"/>
  <c r="V23" i="14"/>
  <c r="V24" i="14" s="1"/>
  <c r="W23" i="14"/>
  <c r="W24" i="14" s="1"/>
  <c r="X23" i="14"/>
  <c r="X24" i="14" s="1"/>
  <c r="Y23" i="14"/>
  <c r="Y24" i="14" s="1"/>
  <c r="Z23" i="14"/>
  <c r="Z24" i="14" s="1"/>
  <c r="AA23" i="14"/>
  <c r="AA24" i="14" s="1"/>
  <c r="N26" i="14"/>
  <c r="N27" i="14" s="1"/>
  <c r="O26" i="14"/>
  <c r="O27" i="14" s="1"/>
  <c r="P26" i="14"/>
  <c r="P27" i="14" s="1"/>
  <c r="Q26" i="14"/>
  <c r="Q27" i="14" s="1"/>
  <c r="R26" i="14"/>
  <c r="R27" i="14" s="1"/>
  <c r="S26" i="14"/>
  <c r="S27" i="14" s="1"/>
  <c r="S28" i="14" s="1"/>
  <c r="S29" i="14" s="1"/>
  <c r="S30" i="14" s="1"/>
  <c r="T26" i="14"/>
  <c r="T27" i="14" s="1"/>
  <c r="T28" i="14" s="1"/>
  <c r="T29" i="14" s="1"/>
  <c r="T30" i="14" s="1"/>
  <c r="U26" i="14"/>
  <c r="V26" i="14"/>
  <c r="W26" i="14"/>
  <c r="W27" i="14" s="1"/>
  <c r="W28" i="14" s="1"/>
  <c r="W29" i="14" s="1"/>
  <c r="W30" i="14" s="1"/>
  <c r="X26" i="14"/>
  <c r="X27" i="14" s="1"/>
  <c r="X28" i="14" s="1"/>
  <c r="X29" i="14" s="1"/>
  <c r="X30" i="14" s="1"/>
  <c r="Y26" i="14"/>
  <c r="Y27" i="14" s="1"/>
  <c r="Y28" i="14" s="1"/>
  <c r="Y29" i="14" s="1"/>
  <c r="Y30" i="14" s="1"/>
  <c r="Z26" i="14"/>
  <c r="Z27" i="14" s="1"/>
  <c r="Z28" i="14" s="1"/>
  <c r="Z29" i="14" s="1"/>
  <c r="Z30" i="14" s="1"/>
  <c r="AA26" i="14"/>
  <c r="AA27" i="14" s="1"/>
  <c r="AA28" i="14" s="1"/>
  <c r="AA29" i="14" s="1"/>
  <c r="AA30" i="14" s="1"/>
  <c r="U27" i="14"/>
  <c r="U28" i="14" s="1"/>
  <c r="U29" i="14" s="1"/>
  <c r="U30" i="14" s="1"/>
  <c r="V27" i="14"/>
  <c r="V28" i="14" s="1"/>
  <c r="V29" i="14" s="1"/>
  <c r="V30" i="14" s="1"/>
  <c r="E206" i="14"/>
  <c r="E207" i="14" s="1"/>
  <c r="E209" i="14"/>
  <c r="E210" i="14" s="1"/>
  <c r="E212" i="14"/>
  <c r="E213" i="14" s="1"/>
  <c r="E215" i="14"/>
  <c r="E216" i="14" s="1"/>
  <c r="E218" i="14"/>
  <c r="E219" i="14" s="1"/>
  <c r="E221" i="14"/>
  <c r="E222" i="14" s="1"/>
  <c r="E224" i="14"/>
  <c r="E225" i="14" s="1"/>
  <c r="E227" i="14"/>
  <c r="E228" i="14" s="1"/>
  <c r="E230" i="14"/>
  <c r="E231" i="14" s="1"/>
  <c r="E233" i="14"/>
  <c r="E234" i="14" s="1"/>
  <c r="E236" i="14"/>
  <c r="E237" i="14" s="1"/>
  <c r="E239" i="14"/>
  <c r="E240" i="14" s="1"/>
  <c r="E242" i="14"/>
  <c r="E243" i="14" s="1"/>
  <c r="E245" i="14"/>
  <c r="E246" i="14" s="1"/>
  <c r="E248" i="14"/>
  <c r="E249" i="14" s="1"/>
  <c r="E251" i="14"/>
  <c r="E252" i="14" s="1"/>
  <c r="E254" i="14"/>
  <c r="E255" i="14" s="1"/>
  <c r="E257" i="14"/>
  <c r="E258" i="14" s="1"/>
  <c r="E260" i="14"/>
  <c r="E261" i="14" s="1"/>
  <c r="E263" i="14"/>
  <c r="E264" i="14" s="1"/>
  <c r="E266" i="14"/>
  <c r="E267" i="14" s="1"/>
  <c r="E269" i="14"/>
  <c r="E270" i="14" s="1"/>
  <c r="E272" i="14"/>
  <c r="E273" i="14" s="1"/>
  <c r="E275" i="14"/>
  <c r="E276" i="14" s="1"/>
  <c r="A233" i="14"/>
  <c r="A234" i="14" s="1"/>
  <c r="B233" i="14"/>
  <c r="B234" i="14" s="1"/>
  <c r="A236" i="14"/>
  <c r="A237" i="14" s="1"/>
  <c r="B236" i="14"/>
  <c r="B237" i="14"/>
  <c r="A239" i="14"/>
  <c r="A240" i="14" s="1"/>
  <c r="B239" i="14"/>
  <c r="B240" i="14" s="1"/>
  <c r="A242" i="14"/>
  <c r="A243" i="14" s="1"/>
  <c r="B242" i="14"/>
  <c r="B243" i="14" s="1"/>
  <c r="A245" i="14"/>
  <c r="A246" i="14" s="1"/>
  <c r="B245" i="14"/>
  <c r="B246" i="14" s="1"/>
  <c r="A248" i="14"/>
  <c r="A249" i="14" s="1"/>
  <c r="B248" i="14"/>
  <c r="B249" i="14" s="1"/>
  <c r="A251" i="14"/>
  <c r="A252" i="14" s="1"/>
  <c r="B251" i="14"/>
  <c r="B252" i="14" s="1"/>
  <c r="A254" i="14"/>
  <c r="A255" i="14" s="1"/>
  <c r="B254" i="14"/>
  <c r="B255" i="14" s="1"/>
  <c r="A257" i="14"/>
  <c r="A258" i="14" s="1"/>
  <c r="B257" i="14"/>
  <c r="B258" i="14" s="1"/>
  <c r="A260" i="14"/>
  <c r="A261" i="14" s="1"/>
  <c r="B260" i="14"/>
  <c r="B261" i="14" s="1"/>
  <c r="A263" i="14"/>
  <c r="A264" i="14" s="1"/>
  <c r="B263" i="14"/>
  <c r="B264" i="14" s="1"/>
  <c r="A266" i="14"/>
  <c r="A267" i="14" s="1"/>
  <c r="B266" i="14"/>
  <c r="B267" i="14" s="1"/>
  <c r="A269" i="14"/>
  <c r="A270" i="14" s="1"/>
  <c r="B269" i="14"/>
  <c r="B270" i="14" s="1"/>
  <c r="A272" i="14"/>
  <c r="A273" i="14" s="1"/>
  <c r="B272" i="14"/>
  <c r="B273" i="14" s="1"/>
  <c r="A275" i="14"/>
  <c r="A276" i="14" s="1"/>
  <c r="B275" i="14"/>
  <c r="B276" i="14" s="1"/>
  <c r="M275" i="14"/>
  <c r="M276" i="14" s="1"/>
  <c r="L275" i="14"/>
  <c r="L276" i="14" s="1"/>
  <c r="K275" i="14"/>
  <c r="K276" i="14" s="1"/>
  <c r="J275" i="14"/>
  <c r="J276" i="14" s="1"/>
  <c r="I275" i="14"/>
  <c r="I276" i="14" s="1"/>
  <c r="M272" i="14"/>
  <c r="M273" i="14" s="1"/>
  <c r="L272" i="14"/>
  <c r="L273" i="14" s="1"/>
  <c r="K272" i="14"/>
  <c r="K273" i="14" s="1"/>
  <c r="J272" i="14"/>
  <c r="J273" i="14" s="1"/>
  <c r="I272" i="14"/>
  <c r="I273" i="14" s="1"/>
  <c r="M269" i="14"/>
  <c r="M270" i="14" s="1"/>
  <c r="L269" i="14"/>
  <c r="L270" i="14" s="1"/>
  <c r="K269" i="14"/>
  <c r="K270" i="14" s="1"/>
  <c r="J269" i="14"/>
  <c r="J270" i="14" s="1"/>
  <c r="I269" i="14"/>
  <c r="I270" i="14" s="1"/>
  <c r="M266" i="14"/>
  <c r="M267" i="14" s="1"/>
  <c r="L266" i="14"/>
  <c r="L267" i="14" s="1"/>
  <c r="K266" i="14"/>
  <c r="K267" i="14" s="1"/>
  <c r="J266" i="14"/>
  <c r="J267" i="14" s="1"/>
  <c r="I266" i="14"/>
  <c r="I267" i="14" s="1"/>
  <c r="M263" i="14"/>
  <c r="M264" i="14" s="1"/>
  <c r="L263" i="14"/>
  <c r="L264" i="14" s="1"/>
  <c r="K263" i="14"/>
  <c r="K264" i="14" s="1"/>
  <c r="J263" i="14"/>
  <c r="J264" i="14" s="1"/>
  <c r="I263" i="14"/>
  <c r="I264" i="14" s="1"/>
  <c r="M260" i="14"/>
  <c r="M261" i="14" s="1"/>
  <c r="L260" i="14"/>
  <c r="L261" i="14" s="1"/>
  <c r="K260" i="14"/>
  <c r="K261" i="14" s="1"/>
  <c r="J260" i="14"/>
  <c r="J261" i="14" s="1"/>
  <c r="I260" i="14"/>
  <c r="I261" i="14" s="1"/>
  <c r="M257" i="14"/>
  <c r="M258" i="14" s="1"/>
  <c r="L257" i="14"/>
  <c r="L258" i="14" s="1"/>
  <c r="K257" i="14"/>
  <c r="K258" i="14" s="1"/>
  <c r="J257" i="14"/>
  <c r="J258" i="14" s="1"/>
  <c r="I257" i="14"/>
  <c r="I258" i="14" s="1"/>
  <c r="M254" i="14"/>
  <c r="M255" i="14" s="1"/>
  <c r="L254" i="14"/>
  <c r="L255" i="14" s="1"/>
  <c r="K254" i="14"/>
  <c r="K255" i="14" s="1"/>
  <c r="J254" i="14"/>
  <c r="J255" i="14" s="1"/>
  <c r="I254" i="14"/>
  <c r="I255" i="14" s="1"/>
  <c r="M251" i="14"/>
  <c r="M252" i="14" s="1"/>
  <c r="L251" i="14"/>
  <c r="L252" i="14" s="1"/>
  <c r="K251" i="14"/>
  <c r="K252" i="14" s="1"/>
  <c r="J251" i="14"/>
  <c r="J252" i="14" s="1"/>
  <c r="I251" i="14"/>
  <c r="I252" i="14" s="1"/>
  <c r="M248" i="14"/>
  <c r="M249" i="14" s="1"/>
  <c r="L248" i="14"/>
  <c r="L249" i="14" s="1"/>
  <c r="K248" i="14"/>
  <c r="K249" i="14" s="1"/>
  <c r="J248" i="14"/>
  <c r="J249" i="14" s="1"/>
  <c r="I248" i="14"/>
  <c r="I249" i="14" s="1"/>
  <c r="M245" i="14"/>
  <c r="M246" i="14" s="1"/>
  <c r="L245" i="14"/>
  <c r="L246" i="14" s="1"/>
  <c r="K245" i="14"/>
  <c r="K246" i="14" s="1"/>
  <c r="J245" i="14"/>
  <c r="J246" i="14" s="1"/>
  <c r="I245" i="14"/>
  <c r="I246" i="14" s="1"/>
  <c r="M242" i="14"/>
  <c r="M243" i="14" s="1"/>
  <c r="L242" i="14"/>
  <c r="L243" i="14" s="1"/>
  <c r="K242" i="14"/>
  <c r="K243" i="14" s="1"/>
  <c r="J242" i="14"/>
  <c r="J243" i="14" s="1"/>
  <c r="I242" i="14"/>
  <c r="I243" i="14" s="1"/>
  <c r="M239" i="14"/>
  <c r="M240" i="14" s="1"/>
  <c r="L239" i="14"/>
  <c r="L240" i="14" s="1"/>
  <c r="K239" i="14"/>
  <c r="K240" i="14" s="1"/>
  <c r="J239" i="14"/>
  <c r="J240" i="14" s="1"/>
  <c r="I239" i="14"/>
  <c r="I240" i="14" s="1"/>
  <c r="M236" i="14"/>
  <c r="M237" i="14" s="1"/>
  <c r="L236" i="14"/>
  <c r="L237" i="14" s="1"/>
  <c r="K236" i="14"/>
  <c r="K237" i="14" s="1"/>
  <c r="J236" i="14"/>
  <c r="J237" i="14" s="1"/>
  <c r="I236" i="14"/>
  <c r="I237" i="14" s="1"/>
  <c r="M233" i="14"/>
  <c r="M234" i="14" s="1"/>
  <c r="L233" i="14"/>
  <c r="L234" i="14" s="1"/>
  <c r="K233" i="14"/>
  <c r="K234" i="14" s="1"/>
  <c r="J233" i="14"/>
  <c r="J234" i="14" s="1"/>
  <c r="I233" i="14"/>
  <c r="I234" i="14" s="1"/>
  <c r="F233" i="14"/>
  <c r="F234" i="14" s="1"/>
  <c r="G233" i="14"/>
  <c r="G234" i="14" s="1"/>
  <c r="H233" i="14"/>
  <c r="H234" i="14" s="1"/>
  <c r="F236" i="14"/>
  <c r="F237" i="14" s="1"/>
  <c r="G236" i="14"/>
  <c r="G237" i="14" s="1"/>
  <c r="H236" i="14"/>
  <c r="H237" i="14" s="1"/>
  <c r="F239" i="14"/>
  <c r="F240" i="14" s="1"/>
  <c r="G239" i="14"/>
  <c r="G240" i="14" s="1"/>
  <c r="H239" i="14"/>
  <c r="H240" i="14" s="1"/>
  <c r="F242" i="14"/>
  <c r="F243" i="14" s="1"/>
  <c r="G242" i="14"/>
  <c r="G243" i="14" s="1"/>
  <c r="H242" i="14"/>
  <c r="H243" i="14" s="1"/>
  <c r="F245" i="14"/>
  <c r="F246" i="14" s="1"/>
  <c r="G245" i="14"/>
  <c r="G246" i="14" s="1"/>
  <c r="H245" i="14"/>
  <c r="H246" i="14" s="1"/>
  <c r="F248" i="14"/>
  <c r="F249" i="14" s="1"/>
  <c r="G248" i="14"/>
  <c r="G249" i="14" s="1"/>
  <c r="H248" i="14"/>
  <c r="H249" i="14" s="1"/>
  <c r="F251" i="14"/>
  <c r="F252" i="14" s="1"/>
  <c r="G251" i="14"/>
  <c r="G252" i="14" s="1"/>
  <c r="H251" i="14"/>
  <c r="H252" i="14" s="1"/>
  <c r="F254" i="14"/>
  <c r="F255" i="14" s="1"/>
  <c r="G254" i="14"/>
  <c r="G255" i="14" s="1"/>
  <c r="H254" i="14"/>
  <c r="H255" i="14" s="1"/>
  <c r="F257" i="14"/>
  <c r="F258" i="14" s="1"/>
  <c r="G257" i="14"/>
  <c r="G258" i="14" s="1"/>
  <c r="H257" i="14"/>
  <c r="H258" i="14" s="1"/>
  <c r="F260" i="14"/>
  <c r="F261" i="14" s="1"/>
  <c r="G260" i="14"/>
  <c r="G261" i="14" s="1"/>
  <c r="H260" i="14"/>
  <c r="H261" i="14" s="1"/>
  <c r="F263" i="14"/>
  <c r="F264" i="14" s="1"/>
  <c r="G263" i="14"/>
  <c r="G264" i="14" s="1"/>
  <c r="H263" i="14"/>
  <c r="H264" i="14" s="1"/>
  <c r="F266" i="14"/>
  <c r="F267" i="14" s="1"/>
  <c r="G266" i="14"/>
  <c r="G267" i="14" s="1"/>
  <c r="H266" i="14"/>
  <c r="H267" i="14" s="1"/>
  <c r="F269" i="14"/>
  <c r="F270" i="14" s="1"/>
  <c r="G269" i="14"/>
  <c r="G270" i="14" s="1"/>
  <c r="H269" i="14"/>
  <c r="H270" i="14" s="1"/>
  <c r="F272" i="14"/>
  <c r="F273" i="14" s="1"/>
  <c r="G272" i="14"/>
  <c r="G273" i="14" s="1"/>
  <c r="H272" i="14"/>
  <c r="H273" i="14" s="1"/>
  <c r="F275" i="14"/>
  <c r="F276" i="14" s="1"/>
  <c r="G275" i="14"/>
  <c r="G276" i="14" s="1"/>
  <c r="H275" i="14"/>
  <c r="H276" i="14" s="1"/>
  <c r="F206" i="14"/>
  <c r="F207" i="14" s="1"/>
  <c r="F209" i="14"/>
  <c r="F210" i="14" s="1"/>
  <c r="F212" i="14"/>
  <c r="F213" i="14" s="1"/>
  <c r="F215" i="14"/>
  <c r="F216" i="14" s="1"/>
  <c r="F218" i="14"/>
  <c r="F219" i="14" s="1"/>
  <c r="F221" i="14"/>
  <c r="F222" i="14" s="1"/>
  <c r="F224" i="14"/>
  <c r="F225" i="14" s="1"/>
  <c r="F227" i="14"/>
  <c r="F228" i="14" s="1"/>
  <c r="F230" i="14"/>
  <c r="F231" i="14" s="1"/>
  <c r="B161" i="14"/>
  <c r="B162" i="14" s="1"/>
  <c r="E161" i="14"/>
  <c r="E162" i="14" s="1"/>
  <c r="F161" i="14"/>
  <c r="F162" i="14" s="1"/>
  <c r="B164" i="14"/>
  <c r="B165" i="14" s="1"/>
  <c r="E164" i="14"/>
  <c r="E165" i="14" s="1"/>
  <c r="F164" i="14"/>
  <c r="F165" i="14" s="1"/>
  <c r="B167" i="14"/>
  <c r="B168" i="14" s="1"/>
  <c r="E167" i="14"/>
  <c r="E168" i="14" s="1"/>
  <c r="F167" i="14"/>
  <c r="F168" i="14" s="1"/>
  <c r="B170" i="14"/>
  <c r="B171" i="14" s="1"/>
  <c r="E170" i="14"/>
  <c r="E171" i="14" s="1"/>
  <c r="F170" i="14"/>
  <c r="F171" i="14" s="1"/>
  <c r="B173" i="14"/>
  <c r="B174" i="14" s="1"/>
  <c r="E173" i="14"/>
  <c r="E174" i="14" s="1"/>
  <c r="F173" i="14"/>
  <c r="F174" i="14" s="1"/>
  <c r="B176" i="14"/>
  <c r="B177" i="14" s="1"/>
  <c r="E176" i="14"/>
  <c r="E177" i="14" s="1"/>
  <c r="F176" i="14"/>
  <c r="F177" i="14" s="1"/>
  <c r="B179" i="14"/>
  <c r="B180" i="14" s="1"/>
  <c r="E179" i="14"/>
  <c r="E180" i="14" s="1"/>
  <c r="F179" i="14"/>
  <c r="F180" i="14" s="1"/>
  <c r="B182" i="14"/>
  <c r="B183" i="14" s="1"/>
  <c r="E182" i="14"/>
  <c r="E183" i="14" s="1"/>
  <c r="F182" i="14"/>
  <c r="F183" i="14" s="1"/>
  <c r="B185" i="14"/>
  <c r="B186" i="14" s="1"/>
  <c r="E185" i="14"/>
  <c r="E186" i="14" s="1"/>
  <c r="F185" i="14"/>
  <c r="F186" i="14" s="1"/>
  <c r="B188" i="14"/>
  <c r="B189" i="14" s="1"/>
  <c r="E188" i="14"/>
  <c r="E189" i="14" s="1"/>
  <c r="F188" i="14"/>
  <c r="F189" i="14" s="1"/>
  <c r="B191" i="14"/>
  <c r="B192" i="14" s="1"/>
  <c r="E191" i="14"/>
  <c r="E192" i="14" s="1"/>
  <c r="F191" i="14"/>
  <c r="F192" i="14" s="1"/>
  <c r="B194" i="14"/>
  <c r="B195" i="14" s="1"/>
  <c r="E194" i="14"/>
  <c r="E195" i="14" s="1"/>
  <c r="F194" i="14"/>
  <c r="F195" i="14" s="1"/>
  <c r="B197" i="14"/>
  <c r="B198" i="14" s="1"/>
  <c r="E197" i="14"/>
  <c r="E198" i="14" s="1"/>
  <c r="F197" i="14"/>
  <c r="F198" i="14" s="1"/>
  <c r="B200" i="14"/>
  <c r="B201" i="14" s="1"/>
  <c r="E200" i="14"/>
  <c r="E201" i="14" s="1"/>
  <c r="F200" i="14"/>
  <c r="F201" i="14" s="1"/>
  <c r="B203" i="14"/>
  <c r="B204" i="14" s="1"/>
  <c r="E203" i="14"/>
  <c r="E204" i="14" s="1"/>
  <c r="F203" i="14"/>
  <c r="F204" i="14" s="1"/>
  <c r="E128" i="14"/>
  <c r="E129" i="14" s="1"/>
  <c r="F128" i="14"/>
  <c r="F129" i="14" s="1"/>
  <c r="E131" i="14"/>
  <c r="E132" i="14" s="1"/>
  <c r="F131" i="14"/>
  <c r="F132" i="14" s="1"/>
  <c r="E134" i="14"/>
  <c r="E135" i="14" s="1"/>
  <c r="F134" i="14"/>
  <c r="F135" i="14" s="1"/>
  <c r="E137" i="14"/>
  <c r="E138" i="14" s="1"/>
  <c r="F137" i="14"/>
  <c r="F138" i="14" s="1"/>
  <c r="E140" i="14"/>
  <c r="E141" i="14" s="1"/>
  <c r="F140" i="14"/>
  <c r="F141" i="14" s="1"/>
  <c r="E143" i="14"/>
  <c r="E144" i="14" s="1"/>
  <c r="F143" i="14"/>
  <c r="F144" i="14" s="1"/>
  <c r="E146" i="14"/>
  <c r="E147" i="14" s="1"/>
  <c r="F146" i="14"/>
  <c r="F147" i="14" s="1"/>
  <c r="E149" i="14"/>
  <c r="E150" i="14" s="1"/>
  <c r="F149" i="14"/>
  <c r="F150" i="14" s="1"/>
  <c r="E152" i="14"/>
  <c r="E153" i="14" s="1"/>
  <c r="F152" i="14"/>
  <c r="F153" i="14" s="1"/>
  <c r="E155" i="14"/>
  <c r="E156" i="14" s="1"/>
  <c r="F155" i="14"/>
  <c r="F156" i="14" s="1"/>
  <c r="E158" i="14"/>
  <c r="E159" i="14" s="1"/>
  <c r="F158" i="14"/>
  <c r="F159" i="14" s="1"/>
  <c r="F104" i="14"/>
  <c r="F105" i="14" s="1"/>
  <c r="F107" i="14"/>
  <c r="F108" i="14" s="1"/>
  <c r="F110" i="14"/>
  <c r="F111" i="14" s="1"/>
  <c r="F113" i="14"/>
  <c r="F114" i="14" s="1"/>
  <c r="F116" i="14"/>
  <c r="F117" i="14" s="1"/>
  <c r="F119" i="14"/>
  <c r="F120" i="14" s="1"/>
  <c r="F122" i="14"/>
  <c r="F123" i="14" s="1"/>
  <c r="F125" i="14"/>
  <c r="F126" i="14" s="1"/>
  <c r="E116" i="14"/>
  <c r="E117" i="14" s="1"/>
  <c r="E80" i="14"/>
  <c r="E81" i="14" s="1"/>
  <c r="E83" i="14"/>
  <c r="E84" i="14" s="1"/>
  <c r="E86" i="14"/>
  <c r="E87" i="14" s="1"/>
  <c r="E89" i="14"/>
  <c r="E90" i="14" s="1"/>
  <c r="E92" i="14"/>
  <c r="E93" i="14" s="1"/>
  <c r="E95" i="14"/>
  <c r="E96" i="14" s="1"/>
  <c r="E98" i="14"/>
  <c r="E99" i="14" s="1"/>
  <c r="E101" i="14"/>
  <c r="E102" i="14" s="1"/>
  <c r="E104" i="14"/>
  <c r="E105" i="14" s="1"/>
  <c r="E107" i="14"/>
  <c r="E108" i="14" s="1"/>
  <c r="E110" i="14"/>
  <c r="E111" i="14" s="1"/>
  <c r="E113" i="14"/>
  <c r="E114" i="14" s="1"/>
  <c r="E119" i="14"/>
  <c r="E120" i="14" s="1"/>
  <c r="E122" i="14"/>
  <c r="E123" i="14" s="1"/>
  <c r="E125" i="14"/>
  <c r="E126" i="14" s="1"/>
  <c r="B80" i="14"/>
  <c r="B81" i="14" s="1"/>
  <c r="B83" i="14"/>
  <c r="B84" i="14" s="1"/>
  <c r="B86" i="14"/>
  <c r="B87" i="14" s="1"/>
  <c r="B89" i="14"/>
  <c r="B90" i="14" s="1"/>
  <c r="B92" i="14"/>
  <c r="B93" i="14" s="1"/>
  <c r="B95" i="14"/>
  <c r="B96" i="14" s="1"/>
  <c r="B98" i="14"/>
  <c r="B99" i="14" s="1"/>
  <c r="B101" i="14"/>
  <c r="B102" i="14" s="1"/>
  <c r="B104" i="14"/>
  <c r="B105" i="14" s="1"/>
  <c r="B107" i="14"/>
  <c r="B108" i="14" s="1"/>
  <c r="B110" i="14"/>
  <c r="B111" i="14" s="1"/>
  <c r="B113" i="14"/>
  <c r="B114" i="14" s="1"/>
  <c r="B116" i="14"/>
  <c r="B117" i="14" s="1"/>
  <c r="B119" i="14"/>
  <c r="B120" i="14" s="1"/>
  <c r="B122" i="14"/>
  <c r="B123" i="14" s="1"/>
  <c r="B125" i="14"/>
  <c r="B126" i="14" s="1"/>
  <c r="B47" i="14"/>
  <c r="B48" i="14" s="1"/>
  <c r="E47" i="14"/>
  <c r="E48" i="14" s="1"/>
  <c r="F47" i="14"/>
  <c r="F48" i="14" s="1"/>
  <c r="B50" i="14"/>
  <c r="B51" i="14" s="1"/>
  <c r="E50" i="14"/>
  <c r="E51" i="14" s="1"/>
  <c r="F50" i="14"/>
  <c r="F51" i="14" s="1"/>
  <c r="B32" i="14"/>
  <c r="B33" i="14" s="1"/>
  <c r="E32" i="14"/>
  <c r="E33" i="14" s="1"/>
  <c r="B35" i="14"/>
  <c r="B36" i="14" s="1"/>
  <c r="E35" i="14"/>
  <c r="E36" i="14" s="1"/>
  <c r="B38" i="14"/>
  <c r="B39" i="14" s="1"/>
  <c r="E38" i="14"/>
  <c r="E39" i="14" s="1"/>
  <c r="B41" i="14"/>
  <c r="B42" i="14" s="1"/>
  <c r="E41" i="14"/>
  <c r="E42" i="14" s="1"/>
  <c r="B44" i="14"/>
  <c r="B45" i="14" s="1"/>
  <c r="F32" i="14"/>
  <c r="F33" i="14" s="1"/>
  <c r="F35" i="14"/>
  <c r="F36" i="14" s="1"/>
  <c r="F38" i="14"/>
  <c r="F39" i="14" s="1"/>
  <c r="F41" i="14"/>
  <c r="F42" i="14" s="1"/>
  <c r="F44" i="14"/>
  <c r="F45" i="14" s="1"/>
  <c r="E20" i="14"/>
  <c r="E21" i="14" s="1"/>
  <c r="E23" i="14"/>
  <c r="E24" i="14" s="1"/>
  <c r="E26" i="14"/>
  <c r="E27" i="14" s="1"/>
  <c r="E29" i="14"/>
  <c r="E30" i="14" s="1"/>
  <c r="F20" i="14"/>
  <c r="F21" i="14" s="1"/>
  <c r="F23" i="14"/>
  <c r="F24" i="14" s="1"/>
  <c r="F26" i="14"/>
  <c r="F27" i="14" s="1"/>
  <c r="F29" i="14"/>
  <c r="F30" i="14" s="1"/>
  <c r="B26" i="14"/>
  <c r="B27" i="14" s="1"/>
  <c r="B29" i="14"/>
  <c r="B30" i="14" s="1"/>
  <c r="C24" i="3" l="1"/>
  <c r="H24" i="3"/>
  <c r="C23" i="3"/>
  <c r="H23" i="3"/>
  <c r="C22" i="3"/>
  <c r="H22" i="3"/>
  <c r="B22" i="3"/>
  <c r="H20" i="3"/>
  <c r="B20" i="3"/>
  <c r="C20" i="3"/>
  <c r="B23" i="3"/>
  <c r="O29" i="6"/>
  <c r="A19" i="3" a="1"/>
  <c r="A19" i="3" s="1"/>
  <c r="A18" i="3" a="1"/>
  <c r="A18" i="3" s="1"/>
  <c r="A17" i="3" a="1"/>
  <c r="A17" i="3" s="1"/>
  <c r="O28" i="6"/>
  <c r="F4" i="7"/>
  <c r="E26" i="10"/>
  <c r="F26" i="10" s="1"/>
  <c r="F29" i="17"/>
  <c r="J34" i="6"/>
  <c r="F1" i="10"/>
  <c r="I34" i="6"/>
  <c r="E13" i="7"/>
  <c r="E8" i="7"/>
  <c r="E12" i="7"/>
  <c r="E11" i="7"/>
  <c r="E9" i="7"/>
  <c r="E4" i="7"/>
  <c r="E7" i="7"/>
  <c r="H18" i="3" s="1"/>
  <c r="H34" i="6"/>
  <c r="E15" i="7"/>
  <c r="E6" i="7"/>
  <c r="E10" i="7"/>
  <c r="E14" i="7"/>
  <c r="E5" i="7"/>
  <c r="H17" i="3" s="1"/>
  <c r="Q28" i="6"/>
  <c r="P33" i="6"/>
  <c r="K38" i="6"/>
  <c r="G36" i="6"/>
  <c r="P28" i="6"/>
  <c r="P32" i="6"/>
  <c r="P39" i="6"/>
  <c r="P31" i="6"/>
  <c r="M34" i="6"/>
  <c r="P38" i="6"/>
  <c r="P30" i="6"/>
  <c r="K34" i="6"/>
  <c r="P37" i="6"/>
  <c r="P29" i="6"/>
  <c r="P36" i="6"/>
  <c r="P35" i="6"/>
  <c r="P34" i="6"/>
  <c r="J38" i="6"/>
  <c r="I38" i="6"/>
  <c r="G37" i="6"/>
  <c r="M36" i="6"/>
  <c r="C38" i="6"/>
  <c r="D38" i="6" s="1"/>
  <c r="K36" i="6"/>
  <c r="G34" i="6"/>
  <c r="I37" i="6"/>
  <c r="H36" i="6"/>
  <c r="H38" i="6"/>
  <c r="M35" i="6"/>
  <c r="G38" i="6"/>
  <c r="I35" i="6"/>
  <c r="J37" i="6"/>
  <c r="K35" i="6"/>
  <c r="H39" i="6"/>
  <c r="K39" i="6"/>
  <c r="J39" i="6"/>
  <c r="E11" i="6" s="1"/>
  <c r="G39" i="6"/>
  <c r="M38" i="6"/>
  <c r="H37" i="6"/>
  <c r="J35" i="6"/>
  <c r="D16" i="7"/>
  <c r="M39" i="6"/>
  <c r="M37" i="6"/>
  <c r="J36" i="6"/>
  <c r="H35" i="6"/>
  <c r="Q39" i="6"/>
  <c r="K37" i="6"/>
  <c r="I36" i="6"/>
  <c r="G35" i="6"/>
  <c r="I33" i="6"/>
  <c r="G31" i="6"/>
  <c r="J30" i="6"/>
  <c r="E6" i="6" s="1"/>
  <c r="M29" i="6"/>
  <c r="E29" i="6"/>
  <c r="C5" i="6" s="1"/>
  <c r="Q29" i="6"/>
  <c r="H33" i="6"/>
  <c r="K32" i="6"/>
  <c r="N31" i="6"/>
  <c r="I30" i="6"/>
  <c r="L29" i="6"/>
  <c r="D29" i="6"/>
  <c r="G33" i="6"/>
  <c r="J32" i="6"/>
  <c r="E8" i="6" s="1"/>
  <c r="M31" i="6"/>
  <c r="H30" i="6"/>
  <c r="D6" i="6" s="1"/>
  <c r="K29" i="6"/>
  <c r="I32" i="6"/>
  <c r="G30" i="6"/>
  <c r="J29" i="6"/>
  <c r="E5" i="6" s="1"/>
  <c r="M33" i="6"/>
  <c r="H32" i="6"/>
  <c r="D8" i="6" s="1"/>
  <c r="K31" i="6"/>
  <c r="N30" i="6"/>
  <c r="I29" i="6"/>
  <c r="Q33" i="6"/>
  <c r="G32" i="6"/>
  <c r="J31" i="6"/>
  <c r="E7" i="6" s="1"/>
  <c r="M30" i="6"/>
  <c r="H29" i="6"/>
  <c r="D5" i="6" s="1"/>
  <c r="Q32" i="6"/>
  <c r="K33" i="6"/>
  <c r="I31" i="6"/>
  <c r="G29" i="6"/>
  <c r="Q31" i="6"/>
  <c r="H31" i="6"/>
  <c r="D7" i="6" s="1"/>
  <c r="K30" i="6"/>
  <c r="Q30" i="6"/>
  <c r="B34" i="6"/>
  <c r="N34" i="6" s="1"/>
  <c r="C37" i="6"/>
  <c r="B33" i="6"/>
  <c r="N33" i="6" s="1"/>
  <c r="C36" i="6"/>
  <c r="B35" i="6"/>
  <c r="N35" i="6" s="1"/>
  <c r="B38" i="6"/>
  <c r="B37" i="6"/>
  <c r="N37" i="6" s="1"/>
  <c r="B36" i="6"/>
  <c r="N36" i="6" s="1"/>
  <c r="C35" i="6"/>
  <c r="C34" i="6"/>
  <c r="C33" i="6"/>
  <c r="C28" i="6"/>
  <c r="F28" i="6" s="1"/>
  <c r="C32" i="6"/>
  <c r="C39" i="6"/>
  <c r="C31" i="6"/>
  <c r="C30" i="6"/>
  <c r="B29" i="6"/>
  <c r="B28" i="6"/>
  <c r="N28" i="6" s="1"/>
  <c r="B32" i="6"/>
  <c r="B8" i="6" s="1"/>
  <c r="B39" i="6"/>
  <c r="N39" i="6" s="1"/>
  <c r="A7" i="6"/>
  <c r="A6" i="6"/>
  <c r="A5" i="6"/>
  <c r="A8" i="6"/>
  <c r="H28" i="6"/>
  <c r="K28" i="6"/>
  <c r="I28" i="6"/>
  <c r="M28" i="6"/>
  <c r="J28" i="6"/>
  <c r="G28" i="6"/>
  <c r="A10" i="6"/>
  <c r="A9" i="6"/>
  <c r="A11" i="6"/>
  <c r="M10" i="9"/>
  <c r="F7" i="9"/>
  <c r="M8" i="9"/>
  <c r="G46" i="3"/>
  <c r="J10" i="9"/>
  <c r="M17" i="9"/>
  <c r="M16" i="9"/>
  <c r="M9" i="9"/>
  <c r="F8" i="9"/>
  <c r="D12" i="9"/>
  <c r="E12" i="9" s="1"/>
  <c r="K18" i="9"/>
  <c r="L18" i="9" s="1"/>
  <c r="F10" i="9"/>
  <c r="M12" i="9"/>
  <c r="M11" i="9"/>
  <c r="M6" i="9"/>
  <c r="J17" i="9"/>
  <c r="J16" i="9"/>
  <c r="F11" i="9"/>
  <c r="M15" i="9"/>
  <c r="C10" i="9"/>
  <c r="F9" i="9"/>
  <c r="C8" i="9"/>
  <c r="C7" i="9"/>
  <c r="M7" i="9"/>
  <c r="B12" i="9"/>
  <c r="I18" i="9"/>
  <c r="M14" i="9"/>
  <c r="M13" i="9"/>
  <c r="F6" i="9"/>
  <c r="H19" i="3" l="1"/>
  <c r="B25" i="3"/>
  <c r="C25" i="3"/>
  <c r="C18" i="3"/>
  <c r="B18" i="3"/>
  <c r="B19" i="3"/>
  <c r="C19" i="3"/>
  <c r="B26" i="3"/>
  <c r="C26" i="3"/>
  <c r="C27" i="3"/>
  <c r="B27" i="3"/>
  <c r="B24" i="3"/>
  <c r="C17" i="3"/>
  <c r="B17" i="3"/>
  <c r="H26" i="3"/>
  <c r="H27" i="3"/>
  <c r="A16" i="3" a="1"/>
  <c r="A16" i="3" s="1"/>
  <c r="D17" i="7"/>
  <c r="L38" i="6"/>
  <c r="E38" i="6"/>
  <c r="F38" i="6"/>
  <c r="E24" i="10"/>
  <c r="B5" i="6"/>
  <c r="K40" i="6"/>
  <c r="G40" i="6"/>
  <c r="D4" i="6"/>
  <c r="H40" i="6"/>
  <c r="D44" i="3" s="1"/>
  <c r="M40" i="6"/>
  <c r="E4" i="6"/>
  <c r="J40" i="6"/>
  <c r="E44" i="3" s="1"/>
  <c r="I40" i="6"/>
  <c r="N29" i="6"/>
  <c r="F39" i="6"/>
  <c r="D39" i="6"/>
  <c r="L39" i="6"/>
  <c r="E39" i="6"/>
  <c r="C11" i="6" s="1"/>
  <c r="L28" i="6"/>
  <c r="F36" i="6"/>
  <c r="E36" i="6"/>
  <c r="D36" i="6"/>
  <c r="L36" i="6"/>
  <c r="D34" i="6"/>
  <c r="L34" i="6"/>
  <c r="E34" i="6"/>
  <c r="C10" i="6" s="1"/>
  <c r="F34" i="6"/>
  <c r="D37" i="6"/>
  <c r="L37" i="6"/>
  <c r="E37" i="6"/>
  <c r="F37" i="6"/>
  <c r="D35" i="6"/>
  <c r="L35" i="6"/>
  <c r="E35" i="6"/>
  <c r="F35" i="6"/>
  <c r="E28" i="6"/>
  <c r="D33" i="6"/>
  <c r="L33" i="6"/>
  <c r="E33" i="6"/>
  <c r="C9" i="6" s="1"/>
  <c r="F33" i="6"/>
  <c r="A39" i="3" a="1"/>
  <c r="A39" i="3" s="1"/>
  <c r="A33" i="3" a="1"/>
  <c r="A33" i="3" s="1"/>
  <c r="A40" i="3" a="1"/>
  <c r="A40" i="3" s="1"/>
  <c r="A34" i="3" a="1"/>
  <c r="A34" i="3" s="1"/>
  <c r="A41" i="3" a="1"/>
  <c r="A41" i="3" s="1"/>
  <c r="A35" i="3" a="1"/>
  <c r="A35" i="3" s="1"/>
  <c r="A42" i="3" a="1"/>
  <c r="A42" i="3" s="1"/>
  <c r="A36" i="3" a="1"/>
  <c r="A36" i="3" s="1"/>
  <c r="A43" i="3" a="1"/>
  <c r="A43" i="3" s="1"/>
  <c r="A37" i="3" a="1"/>
  <c r="A37" i="3" s="1"/>
  <c r="A38" i="3" a="1"/>
  <c r="A38" i="3" s="1"/>
  <c r="D30" i="6"/>
  <c r="L30" i="6"/>
  <c r="E30" i="6"/>
  <c r="C6" i="6" s="1"/>
  <c r="F30" i="6"/>
  <c r="D31" i="6"/>
  <c r="L31" i="6"/>
  <c r="E31" i="6"/>
  <c r="C7" i="6" s="1"/>
  <c r="F31" i="6"/>
  <c r="N32" i="6"/>
  <c r="E32" i="6"/>
  <c r="C8" i="6" s="1"/>
  <c r="F32" i="6"/>
  <c r="D32" i="6"/>
  <c r="L32" i="6"/>
  <c r="N38" i="6"/>
  <c r="E10" i="6"/>
  <c r="E9" i="6"/>
  <c r="B9" i="6"/>
  <c r="D11" i="6"/>
  <c r="D10" i="6"/>
  <c r="B10" i="6"/>
  <c r="D9" i="6"/>
  <c r="B11" i="6"/>
  <c r="D28" i="6"/>
  <c r="B4" i="6"/>
  <c r="B40" i="6"/>
  <c r="G47" i="3"/>
  <c r="B13" i="9"/>
  <c r="M18" i="9"/>
  <c r="J18" i="9"/>
  <c r="C12" i="9"/>
  <c r="C10" i="3"/>
  <c r="B7" i="3" s="1"/>
  <c r="C46" i="3" s="1"/>
  <c r="F12" i="9"/>
  <c r="C11" i="3" s="1"/>
  <c r="F11" i="3" s="1"/>
  <c r="I19" i="9"/>
  <c r="C16" i="3" l="1"/>
  <c r="B16" i="3"/>
  <c r="B28" i="3" s="1"/>
  <c r="H16" i="3"/>
  <c r="H28" i="3"/>
  <c r="C12" i="3"/>
  <c r="F12" i="3" s="1"/>
  <c r="E22" i="10"/>
  <c r="N40" i="6"/>
  <c r="E12" i="10" s="1"/>
  <c r="F40" i="6"/>
  <c r="G53" i="3" s="1"/>
  <c r="D40" i="6"/>
  <c r="C52" i="3" s="1"/>
  <c r="L40" i="6"/>
  <c r="C4" i="6"/>
  <c r="D17" i="6" s="1"/>
  <c r="E40" i="6"/>
  <c r="C44" i="3" s="1"/>
  <c r="I44" i="3" s="1"/>
  <c r="G38" i="3"/>
  <c r="E38" i="3"/>
  <c r="C38" i="3"/>
  <c r="B38" i="3"/>
  <c r="F38" i="3"/>
  <c r="D38" i="3"/>
  <c r="E34" i="3"/>
  <c r="B34" i="3"/>
  <c r="C34" i="3"/>
  <c r="D34" i="3"/>
  <c r="G34" i="3"/>
  <c r="F34" i="3"/>
  <c r="D16" i="6"/>
  <c r="B44" i="3"/>
  <c r="F5" i="3" s="1"/>
  <c r="B32" i="3"/>
  <c r="F32" i="3"/>
  <c r="E32" i="3"/>
  <c r="D32" i="3"/>
  <c r="G32" i="3"/>
  <c r="C32" i="3"/>
  <c r="D40" i="3"/>
  <c r="B40" i="3"/>
  <c r="E40" i="3"/>
  <c r="G40" i="3"/>
  <c r="C40" i="3"/>
  <c r="F40" i="3"/>
  <c r="C37" i="3"/>
  <c r="B37" i="3"/>
  <c r="D37" i="3"/>
  <c r="E37" i="3"/>
  <c r="F37" i="3"/>
  <c r="G37" i="3"/>
  <c r="C33" i="3"/>
  <c r="B33" i="3"/>
  <c r="E33" i="3"/>
  <c r="F33" i="3"/>
  <c r="G33" i="3"/>
  <c r="D33" i="3"/>
  <c r="D43" i="3"/>
  <c r="G43" i="3"/>
  <c r="B43" i="3"/>
  <c r="F43" i="3"/>
  <c r="C43" i="3"/>
  <c r="E43" i="3"/>
  <c r="G39" i="3"/>
  <c r="D39" i="3"/>
  <c r="F39" i="3"/>
  <c r="E39" i="3"/>
  <c r="B39" i="3"/>
  <c r="C39" i="3"/>
  <c r="F36" i="3"/>
  <c r="G36" i="3"/>
  <c r="B36" i="3"/>
  <c r="E36" i="3"/>
  <c r="C36" i="3"/>
  <c r="D36" i="3"/>
  <c r="B42" i="3"/>
  <c r="F42" i="3"/>
  <c r="C42" i="3"/>
  <c r="D42" i="3"/>
  <c r="G42" i="3"/>
  <c r="E42" i="3"/>
  <c r="G35" i="3"/>
  <c r="E35" i="3"/>
  <c r="D35" i="3"/>
  <c r="F35" i="3"/>
  <c r="B35" i="3"/>
  <c r="C35" i="3"/>
  <c r="G41" i="3"/>
  <c r="F41" i="3"/>
  <c r="D41" i="3"/>
  <c r="E41" i="3"/>
  <c r="C41" i="3"/>
  <c r="B41" i="3"/>
  <c r="D19" i="6"/>
  <c r="D18" i="6"/>
  <c r="I32" i="3" l="1"/>
  <c r="I35" i="3"/>
  <c r="I41" i="3"/>
  <c r="I38" i="3"/>
  <c r="I42" i="3"/>
  <c r="I39" i="3"/>
  <c r="I43" i="3"/>
  <c r="I33" i="3"/>
  <c r="I34" i="3"/>
  <c r="I37" i="3"/>
  <c r="I40" i="3"/>
  <c r="I36" i="3"/>
  <c r="G49" i="3"/>
  <c r="F11" i="10"/>
  <c r="C47" i="3" s="1"/>
  <c r="G50" i="3" s="1"/>
  <c r="D20" i="6"/>
  <c r="D22" i="6"/>
  <c r="D21" i="6"/>
  <c r="H37" i="3"/>
  <c r="H39" i="3"/>
  <c r="G52" i="3"/>
  <c r="C53" i="3"/>
  <c r="H42" i="3"/>
  <c r="H43" i="3"/>
  <c r="H32" i="3"/>
  <c r="H40" i="3"/>
  <c r="H36" i="3"/>
  <c r="H35" i="3"/>
  <c r="H34" i="3"/>
  <c r="H41" i="3"/>
  <c r="H33" i="3"/>
  <c r="H38" i="3"/>
  <c r="B16" i="18"/>
  <c r="B17" i="18" s="1"/>
  <c r="B74" i="18"/>
  <c r="B75" i="18" s="1"/>
  <c r="B76" i="18" s="1"/>
  <c r="B77" i="18" s="1"/>
  <c r="B78" i="18" s="1"/>
  <c r="B79" i="18" s="1"/>
  <c r="B73" i="18"/>
  <c r="B83" i="18"/>
  <c r="B84" i="18" s="1"/>
  <c r="B85" i="18" s="1"/>
  <c r="B12" i="18"/>
  <c r="B13" i="18" s="1"/>
  <c r="B14" i="18" s="1"/>
  <c r="B42" i="18"/>
  <c r="B110" i="18"/>
  <c r="B111" i="18" s="1"/>
  <c r="B112" i="18" s="1"/>
  <c r="B113" i="18" s="1"/>
  <c r="B103" i="18"/>
  <c r="B104" i="18" s="1"/>
  <c r="B105" i="18" s="1"/>
  <c r="B106" i="18" s="1"/>
  <c r="B107" i="18" s="1"/>
  <c r="B11" i="18"/>
  <c r="B10" i="18"/>
  <c r="B47" i="18"/>
  <c r="B48" i="18" s="1"/>
  <c r="B49" i="18" s="1"/>
  <c r="B90" i="18"/>
  <c r="B91" i="18" s="1"/>
  <c r="B94" i="18"/>
  <c r="B95" i="18" s="1"/>
  <c r="B96" i="18" s="1"/>
  <c r="B97" i="18" s="1"/>
  <c r="B98" i="18" s="1"/>
  <c r="B99" i="18" s="1"/>
  <c r="B100" i="18" s="1"/>
  <c r="B101" i="18" s="1"/>
  <c r="B51" i="18"/>
  <c r="B52" i="18" s="1"/>
  <c r="B54" i="18"/>
  <c r="B55" i="18" s="1"/>
  <c r="B56" i="18" s="1"/>
  <c r="B57" i="18" s="1"/>
  <c r="B58" i="18" s="1"/>
  <c r="B59" i="18" s="1"/>
  <c r="B60" i="18" s="1"/>
  <c r="B3" i="18"/>
  <c r="B36" i="18"/>
  <c r="B37" i="18" s="1"/>
  <c r="B38" i="18" s="1"/>
  <c r="B39" i="18" s="1"/>
  <c r="B40" i="18" s="1"/>
  <c r="B115" i="18"/>
  <c r="B116" i="18" s="1"/>
  <c r="B117" i="18" s="1"/>
  <c r="B118" i="18" s="1"/>
  <c r="B119" i="18" s="1"/>
  <c r="B109" i="18"/>
  <c r="B44" i="18"/>
  <c r="B45" i="18" s="1"/>
  <c r="B23" i="18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G54" i="3" l="1"/>
  <c r="G55" i="3" s="1"/>
  <c r="G56" i="3" s="1"/>
  <c r="H44" i="3"/>
  <c r="B86" i="18"/>
  <c r="B80" i="18"/>
  <c r="B121" i="18"/>
  <c r="B122" i="18"/>
  <c r="B126" i="18"/>
  <c r="B18" i="18"/>
  <c r="B19" i="18"/>
  <c r="B20" i="18"/>
  <c r="B21" i="18"/>
  <c r="B63" i="18"/>
  <c r="B64" i="18"/>
  <c r="G57" i="3" l="1"/>
  <c r="G5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<sst xmlns="http://schemas.openxmlformats.org/spreadsheetml/2006/main" count="2245" uniqueCount="1189">
  <si>
    <t>建築物名稱</t>
  </si>
  <si>
    <t>文件檢核表</t>
    <phoneticPr fontId="7" type="noConversion"/>
  </si>
  <si>
    <t>等級標示</t>
  </si>
  <si>
    <t>能效得分標示</t>
  </si>
  <si>
    <t>EUI範圍判斷數學標示符號</t>
  </si>
  <si>
    <t>能效等級EUI基準值計算法</t>
  </si>
  <si>
    <r>
      <t xml:space="preserve">  1</t>
    </r>
    <r>
      <rPr>
        <vertAlign val="superscript"/>
        <sz val="12"/>
        <color theme="1"/>
        <rFont val="標楷體"/>
        <charset val="136"/>
      </rPr>
      <t>+</t>
    </r>
  </si>
  <si>
    <t>90~100</t>
  </si>
  <si>
    <t>≦</t>
  </si>
  <si>
    <t>80~&lt;90</t>
  </si>
  <si>
    <t>70~&lt;80</t>
  </si>
  <si>
    <t>60~&lt;70</t>
  </si>
  <si>
    <t>50~&lt;60</t>
  </si>
  <si>
    <t>40~&lt;50</t>
  </si>
  <si>
    <t>20~&lt;40</t>
  </si>
  <si>
    <t>0~&lt;20</t>
  </si>
  <si>
    <t>&gt; </t>
  </si>
  <si>
    <t>EUIg</t>
    <phoneticPr fontId="7" type="noConversion"/>
  </si>
  <si>
    <r>
      <t>kWh/(m</t>
    </r>
    <r>
      <rPr>
        <vertAlign val="superscript"/>
        <sz val="12"/>
        <color theme="1"/>
        <rFont val="標楷體"/>
        <charset val="136"/>
      </rPr>
      <t>2</t>
    </r>
    <r>
      <rPr>
        <sz val="12"/>
        <color theme="1"/>
        <rFont val="標楷體"/>
        <charset val="136"/>
      </rPr>
      <t>.yr)</t>
    </r>
  </si>
  <si>
    <t>耗能分區</t>
  </si>
  <si>
    <t>AEUImi</t>
  </si>
  <si>
    <t>LEUImi</t>
  </si>
  <si>
    <t>EEUIi</t>
  </si>
  <si>
    <t>kWh/yr</t>
  </si>
  <si>
    <t>免評估分區</t>
  </si>
  <si>
    <t>(kWh/yr)</t>
  </si>
  <si>
    <t>Enk×UR (kWh/yr)</t>
  </si>
  <si>
    <r>
      <t>(AEUI, kWh/m</t>
    </r>
    <r>
      <rPr>
        <b/>
        <vertAlign val="superscript"/>
        <sz val="12"/>
        <color theme="1"/>
        <rFont val="Times New Roman"/>
        <family val="1"/>
      </rPr>
      <t>2.</t>
    </r>
    <r>
      <rPr>
        <b/>
        <sz val="12"/>
        <color theme="1"/>
        <rFont val="Times New Roman"/>
        <family val="1"/>
      </rPr>
      <t>yr)</t>
    </r>
  </si>
  <si>
    <r>
      <t>(LEUI, kWh/m</t>
    </r>
    <r>
      <rPr>
        <b/>
        <vertAlign val="superscript"/>
        <sz val="12"/>
        <color theme="1"/>
        <rFont val="Times New Roman"/>
        <family val="1"/>
      </rPr>
      <t>2.</t>
    </r>
    <r>
      <rPr>
        <b/>
        <sz val="12"/>
        <color theme="1"/>
        <rFont val="Times New Roman"/>
        <family val="1"/>
      </rPr>
      <t>yr)</t>
    </r>
  </si>
  <si>
    <r>
      <t>(EEUI, kWh/m</t>
    </r>
    <r>
      <rPr>
        <b/>
        <vertAlign val="superscript"/>
        <sz val="12"/>
        <color theme="1"/>
        <rFont val="Times New Roman"/>
        <family val="1"/>
      </rPr>
      <t>2.</t>
    </r>
    <r>
      <rPr>
        <b/>
        <sz val="12"/>
        <color theme="1"/>
        <rFont val="Times New Roman"/>
        <family val="1"/>
      </rPr>
      <t>yr)</t>
    </r>
  </si>
  <si>
    <t>(YAHi, h/yr)</t>
  </si>
  <si>
    <t>(YOD, day/yr)</t>
  </si>
  <si>
    <r>
      <t>(Qwi, m</t>
    </r>
    <r>
      <rPr>
        <b/>
        <vertAlign val="superscript"/>
        <sz val="12"/>
        <color theme="1"/>
        <rFont val="Times New Roman"/>
        <family val="1"/>
      </rPr>
      <t>3</t>
    </r>
    <r>
      <rPr>
        <b/>
        <sz val="12"/>
        <color theme="1"/>
        <rFont val="Times New Roman"/>
        <family val="1"/>
      </rPr>
      <t>/yr)</t>
    </r>
  </si>
  <si>
    <t>(SOri)</t>
  </si>
  <si>
    <t>AEUImin</t>
  </si>
  <si>
    <t>AEUIm</t>
  </si>
  <si>
    <t>AEUImax</t>
  </si>
  <si>
    <t>LEUImin</t>
  </si>
  <si>
    <t>LEUIm</t>
  </si>
  <si>
    <t>LEUImax</t>
  </si>
  <si>
    <t>建築物地址</t>
  </si>
  <si>
    <t>城鄉係數UR</t>
  </si>
  <si>
    <t>實際年總耗電量 TE</t>
  </si>
  <si>
    <t>輸送設備年耗電量 Et</t>
  </si>
  <si>
    <t>揚水設備年耗電量 Ep</t>
  </si>
  <si>
    <t>加熱設備年耗電量 Eh</t>
  </si>
  <si>
    <t>其他特殊用電量 Ee</t>
  </si>
  <si>
    <t>用電量 (kWh)</t>
  </si>
  <si>
    <t>變動率(以較大者為分母)</t>
  </si>
  <si>
    <t>兩月用電</t>
  </si>
  <si>
    <t>日平均用電</t>
  </si>
  <si>
    <t>1~2 月(59 天)</t>
  </si>
  <si>
    <t>3~4 月(61 天)</t>
  </si>
  <si>
    <t>5~6 月(61 天)</t>
  </si>
  <si>
    <t>7~8 月(62 天)</t>
  </si>
  <si>
    <t>9~10 月(61 天)</t>
  </si>
  <si>
    <t>11~12 月(61 天)</t>
  </si>
  <si>
    <t>全年總計</t>
  </si>
  <si>
    <t>平均年用電量</t>
  </si>
  <si>
    <t>文件類型</t>
    <phoneticPr fontId="7" type="noConversion"/>
  </si>
  <si>
    <t>申請表件</t>
    <phoneticPr fontId="7" type="noConversion"/>
  </si>
  <si>
    <t>基本文件</t>
    <phoneticPr fontId="7" type="noConversion"/>
  </si>
  <si>
    <t>上網下載新式表單並依目次順序排置編列頁碼，頁碼請編列於翻頁側下緣</t>
  </si>
  <si>
    <t>以A4西式規格長尾夾裝訂，若為A3圖說文件則應摺疊成A4大小即可</t>
  </si>
  <si>
    <t>每項評估指標之間以彩色紙作為隔頁</t>
  </si>
  <si>
    <t>檢附一式二份用印完畢之權利義務約定書</t>
  </si>
  <si>
    <t>評定書內容頁表格</t>
  </si>
  <si>
    <t>聯絡人資料表(申請人暨設計人連絡地址、電話、傳真及承辦人員資料)</t>
  </si>
  <si>
    <r>
      <t>申請人切結書</t>
    </r>
    <r>
      <rPr>
        <sz val="12"/>
        <color rgb="FF0000FF"/>
        <rFont val="Arial"/>
        <family val="2"/>
      </rPr>
      <t>（申請人簽名用印）</t>
    </r>
  </si>
  <si>
    <r>
      <t>設計人切結書</t>
    </r>
    <r>
      <rPr>
        <sz val="12"/>
        <color rgb="FF0000FF"/>
        <rFont val="Arial"/>
        <family val="2"/>
      </rPr>
      <t>（無者免附）</t>
    </r>
  </si>
  <si>
    <r>
      <t>申請人委任切結書</t>
    </r>
    <r>
      <rPr>
        <sz val="12"/>
        <color rgb="FF0000FF"/>
        <rFont val="Arial"/>
        <family val="2"/>
      </rPr>
      <t>（申請人及委任人簽名用印）</t>
    </r>
  </si>
  <si>
    <r>
      <t>委任人切結書</t>
    </r>
    <r>
      <rPr>
        <sz val="12"/>
        <color rgb="FF0000FF"/>
        <rFont val="Arial"/>
        <family val="2"/>
      </rPr>
      <t>（無者免附）</t>
    </r>
  </si>
  <si>
    <r>
      <t>評定報告授權書</t>
    </r>
    <r>
      <rPr>
        <sz val="12"/>
        <color rgb="FF0000FF"/>
        <rFont val="Arial"/>
        <family val="2"/>
      </rPr>
      <t>（申請人及設計人簽名用印）</t>
    </r>
  </si>
  <si>
    <r>
      <t>用水用電度數查詢授權書</t>
    </r>
    <r>
      <rPr>
        <sz val="12"/>
        <color rgb="FF0000FF"/>
        <rFont val="Arial"/>
        <family val="2"/>
      </rPr>
      <t>（申請人簽名用印）</t>
    </r>
  </si>
  <si>
    <r>
      <t>建照執照影本含附件</t>
    </r>
    <r>
      <rPr>
        <sz val="12"/>
        <color rgb="FF0000FF"/>
        <rFont val="Arial"/>
        <family val="2"/>
      </rPr>
      <t>(未取得者請先檢附建照申請書)（申請候選檢附）</t>
    </r>
  </si>
  <si>
    <r>
      <t>使用執照影本含附件</t>
    </r>
    <r>
      <rPr>
        <sz val="12"/>
        <color rgb="FF0000FF"/>
        <rFont val="Arial"/>
        <family val="2"/>
      </rPr>
      <t>(未取得者請先檢附使照申請書)（申請標章檢附）</t>
    </r>
  </si>
  <si>
    <r>
      <t>建築執照如有登載相關法規程序</t>
    </r>
    <r>
      <rPr>
        <sz val="12"/>
        <color rgb="FF0000FF"/>
        <rFont val="Arial"/>
        <family val="2"/>
      </rPr>
      <t>（如都市審議、都市更新、環境影響評估、土地使用分區管制、自治條例、執照預審、都市危險及老舊建築物加速重建條例等）</t>
    </r>
    <r>
      <rPr>
        <sz val="12"/>
        <color theme="1"/>
        <rFont val="Arial"/>
        <family val="2"/>
      </rPr>
      <t>時，請檢附其相關法規文件，以利判別本案法規依據。</t>
    </r>
  </si>
  <si>
    <t>圖說比例尺應依照建築執照申請圖說規定為原則，但得適度縮小影印，縮印後之圖樣及字體應保持清晰可辨</t>
  </si>
  <si>
    <r>
      <t>面積計算表</t>
    </r>
    <r>
      <rPr>
        <sz val="12"/>
        <color rgb="FF0000FF"/>
        <rFont val="Arial"/>
        <family val="2"/>
      </rPr>
      <t>（含申請基地面積、建築面積、建蔽率、各層樓地板面積、地面以上樓層總樓地面積、建物總樓地板面積）</t>
    </r>
  </si>
  <si>
    <r>
      <t>各層平面圖</t>
    </r>
    <r>
      <rPr>
        <sz val="12"/>
        <color rgb="FF0000FF"/>
        <rFont val="Arial"/>
        <family val="2"/>
      </rPr>
      <t>（附面積計算式）</t>
    </r>
  </si>
  <si>
    <r>
      <t>各向立面圖</t>
    </r>
    <r>
      <rPr>
        <sz val="12"/>
        <color rgb="FF0000FF"/>
        <rFont val="Arial"/>
        <family val="2"/>
      </rPr>
      <t>（得以現況照片表示）</t>
    </r>
  </si>
  <si>
    <t>各向剖面圖（得以現況照片表示）</t>
  </si>
  <si>
    <t>建築能效評估總表</t>
  </si>
  <si>
    <t>建築能效等級EUI 評分尺度</t>
  </si>
  <si>
    <t>建築能效EUI基準計算及分級標示表</t>
  </si>
  <si>
    <t>耗能分區評估表</t>
  </si>
  <si>
    <t>耗能分區評估圖說</t>
  </si>
  <si>
    <t>4年內連續24個月用電資料</t>
  </si>
  <si>
    <t>基本圖說</t>
    <phoneticPr fontId="7" type="noConversion"/>
  </si>
  <si>
    <t>建築能效評估</t>
    <phoneticPr fontId="7" type="noConversion"/>
  </si>
  <si>
    <t>申請評定權利義務約定書</t>
  </si>
  <si>
    <r>
      <rPr>
        <sz val="12"/>
        <color theme="1"/>
        <rFont val="DFKaiShu-SB-Estd-BF"/>
        <family val="2"/>
        <charset val="136"/>
      </rPr>
      <t>綠建築標章及建築能效標示評定文件申請表</t>
    </r>
    <phoneticPr fontId="7" type="noConversion"/>
  </si>
  <si>
    <r>
      <rPr>
        <sz val="12"/>
        <color theme="1"/>
        <rFont val="DFKaiShu-SB-Estd-BF"/>
        <family val="2"/>
        <charset val="136"/>
      </rPr>
      <t>評定書</t>
    </r>
    <phoneticPr fontId="7" type="noConversion"/>
  </si>
  <si>
    <t>BERSe評估總表</t>
    <phoneticPr fontId="7" type="noConversion"/>
  </si>
  <si>
    <t>一、建築物及空調基本資料</t>
    <phoneticPr fontId="7" type="noConversion"/>
  </si>
  <si>
    <t>地上總樓層數</t>
  </si>
  <si>
    <t>地下總樓層數</t>
  </si>
  <si>
    <t>雨中水年利用量</t>
  </si>
  <si>
    <t>其他特殊用電 Ee</t>
  </si>
  <si>
    <t>城鄉係數 UR</t>
  </si>
  <si>
    <t>評估樓地板面積 Afe</t>
    <phoneticPr fontId="7" type="noConversion"/>
  </si>
  <si>
    <t>二、BERSe免評估分區資料(分區欄位不足時請自行增列)</t>
    <phoneticPr fontId="7" type="noConversion"/>
  </si>
  <si>
    <t>免評估分區總面積 AFn</t>
  </si>
  <si>
    <t>三、BERSe 耗能分區資料(分區欄位不足時請自行增列)</t>
    <phoneticPr fontId="7" type="noConversion"/>
  </si>
  <si>
    <t>空間營運率 SOri</t>
  </si>
  <si>
    <t>年耗電量</t>
  </si>
  <si>
    <t>四、BERSe 評分尺度與分級評估判定</t>
    <phoneticPr fontId="7" type="noConversion"/>
  </si>
  <si>
    <t>能效等級判定</t>
  </si>
  <si>
    <t>免評估分區總年耗電量 EN</t>
    <phoneticPr fontId="7" type="noConversion"/>
  </si>
  <si>
    <t>日平均用電量之年變動率</t>
  </si>
  <si>
    <t xml:space="preserve">日平均用電量之最大月電量變動率 </t>
  </si>
  <si>
    <t>年總耗電量 TE</t>
    <phoneticPr fontId="7" type="noConversion"/>
  </si>
  <si>
    <t xml:space="preserve">實際年總耗電量 TE 信賴度檢驗: </t>
  </si>
  <si>
    <r>
      <t>LEUImi kWh/(m</t>
    </r>
    <r>
      <rPr>
        <vertAlign val="superscript"/>
        <sz val="12"/>
        <color theme="1"/>
        <rFont val="標楷體"/>
        <charset val="136"/>
      </rPr>
      <t>2</t>
    </r>
    <r>
      <rPr>
        <sz val="12"/>
        <color theme="1"/>
        <rFont val="標楷體"/>
        <charset val="136"/>
      </rPr>
      <t>.yr)</t>
    </r>
  </si>
  <si>
    <t>m2</t>
  </si>
  <si>
    <r>
      <t xml:space="preserve">EUI </t>
    </r>
    <r>
      <rPr>
        <sz val="12"/>
        <color theme="1"/>
        <rFont val="SimSun"/>
        <charset val="134"/>
      </rPr>
      <t xml:space="preserve">最小值 </t>
    </r>
    <r>
      <rPr>
        <sz val="12"/>
        <color theme="1"/>
        <rFont val="Times New Roman"/>
        <family val="1"/>
      </rPr>
      <t>EUImin</t>
    </r>
  </si>
  <si>
    <r>
      <t xml:space="preserve">EUI GB </t>
    </r>
    <r>
      <rPr>
        <sz val="12"/>
        <color theme="1"/>
        <rFont val="SimSun"/>
        <charset val="134"/>
      </rPr>
      <t xml:space="preserve">基準值 </t>
    </r>
    <r>
      <rPr>
        <sz val="12"/>
        <color theme="1"/>
        <rFont val="Times New Roman"/>
        <family val="1"/>
      </rPr>
      <t>EUIg</t>
    </r>
  </si>
  <si>
    <r>
      <t xml:space="preserve">EUI </t>
    </r>
    <r>
      <rPr>
        <sz val="12"/>
        <color theme="1"/>
        <rFont val="SimSun"/>
        <charset val="134"/>
      </rPr>
      <t xml:space="preserve">中位值 </t>
    </r>
    <r>
      <rPr>
        <sz val="12"/>
        <color theme="1"/>
        <rFont val="Times New Roman"/>
        <family val="1"/>
      </rPr>
      <t>EUIm</t>
    </r>
  </si>
  <si>
    <r>
      <t xml:space="preserve">EUI </t>
    </r>
    <r>
      <rPr>
        <sz val="12"/>
        <color theme="1"/>
        <rFont val="SimSun"/>
        <charset val="134"/>
      </rPr>
      <t xml:space="preserve">最大值 </t>
    </r>
    <r>
      <rPr>
        <sz val="12"/>
        <color theme="1"/>
        <rFont val="Times New Roman"/>
        <family val="1"/>
      </rPr>
      <t>EUImax</t>
    </r>
  </si>
  <si>
    <r>
      <t xml:space="preserve">耗電密度指標 </t>
    </r>
    <r>
      <rPr>
        <sz val="12"/>
        <color theme="1"/>
        <rFont val="Times New Roman"/>
        <family val="1"/>
      </rPr>
      <t>EUI*= EUIm+</t>
    </r>
    <r>
      <rPr>
        <sz val="12"/>
        <color theme="1"/>
        <rFont val="SimSun"/>
        <charset val="134"/>
      </rPr>
      <t>△</t>
    </r>
    <r>
      <rPr>
        <sz val="12"/>
        <color theme="1"/>
        <rFont val="Times New Roman"/>
        <family val="1"/>
      </rPr>
      <t>EUI =</t>
    </r>
  </si>
  <si>
    <t>能效得分計算 SCOREEE</t>
    <phoneticPr fontId="7" type="noConversion"/>
  </si>
  <si>
    <t>耗電密度差距△EUI= EUI’– UR ×Σ1~i(( AEUImi +LEUImi +EEUIi) ×SOri × Afi) / Afe</t>
    <phoneticPr fontId="7" type="noConversion"/>
  </si>
  <si>
    <r>
      <t>主設備用電密度 EUI’</t>
    </r>
    <r>
      <rPr>
        <b/>
        <sz val="12"/>
        <color theme="1"/>
        <rFont val="標楷體"/>
        <charset val="136"/>
      </rPr>
      <t xml:space="preserve">= </t>
    </r>
    <r>
      <rPr>
        <sz val="12"/>
        <color theme="1"/>
        <rFont val="標楷體"/>
        <charset val="136"/>
      </rPr>
      <t>[TE–UR×(</t>
    </r>
    <r>
      <rPr>
        <sz val="12"/>
        <color rgb="FF000000"/>
        <rFont val="標楷體"/>
        <charset val="136"/>
      </rPr>
      <t>EN</t>
    </r>
    <r>
      <rPr>
        <sz val="12"/>
        <color theme="1"/>
        <rFont val="標楷體"/>
        <charset val="136"/>
      </rPr>
      <t>+Et+Ep+Eh)–Ee] / Afe</t>
    </r>
    <phoneticPr fontId="7" type="noConversion"/>
  </si>
  <si>
    <t>總耗電密度 TEUI=TE/(AFe+AFn)</t>
    <phoneticPr fontId="7" type="noConversion"/>
  </si>
  <si>
    <r>
      <t>耗能分區總年耗電量 UR ×Σ</t>
    </r>
    <r>
      <rPr>
        <vertAlign val="subscript"/>
        <sz val="12"/>
        <color theme="1"/>
        <rFont val="標楷體"/>
        <charset val="136"/>
      </rPr>
      <t>1~i</t>
    </r>
    <r>
      <rPr>
        <sz val="12"/>
        <color theme="1"/>
        <rFont val="標楷體"/>
        <charset val="136"/>
      </rPr>
      <t xml:space="preserve"> ((AEUImi +LEUImi +EEUIi) ×SOri × Afi)</t>
    </r>
    <phoneticPr fontId="7" type="noConversion"/>
  </si>
  <si>
    <r>
      <t>AEUImi kWh/(m</t>
    </r>
    <r>
      <rPr>
        <vertAlign val="superscript"/>
        <sz val="12"/>
        <color theme="1"/>
        <rFont val="標楷體"/>
        <charset val="136"/>
      </rPr>
      <t>2</t>
    </r>
    <r>
      <rPr>
        <sz val="12"/>
        <color theme="1"/>
        <rFont val="標楷體"/>
        <charset val="136"/>
      </rPr>
      <t>.yr)</t>
    </r>
    <phoneticPr fontId="7" type="noConversion"/>
  </si>
  <si>
    <t>面積</t>
    <phoneticPr fontId="7" type="noConversion"/>
  </si>
  <si>
    <t>(kWh/yr)</t>
    <phoneticPr fontId="7" type="noConversion"/>
  </si>
  <si>
    <t>(m2)</t>
    <phoneticPr fontId="7" type="noConversion"/>
  </si>
  <si>
    <r>
      <t>Afk</t>
    </r>
    <r>
      <rPr>
        <sz val="12"/>
        <color theme="1"/>
        <rFont val="標楷體"/>
        <charset val="136"/>
      </rPr>
      <t>面積</t>
    </r>
    <phoneticPr fontId="7" type="noConversion"/>
  </si>
  <si>
    <r>
      <rPr>
        <sz val="12"/>
        <color theme="1"/>
        <rFont val="標楷體"/>
        <charset val="136"/>
      </rPr>
      <t>年耗電量</t>
    </r>
    <r>
      <rPr>
        <sz val="12"/>
        <color theme="1"/>
        <rFont val="Times New Roman"/>
        <family val="1"/>
      </rPr>
      <t xml:space="preserve"> Enk </t>
    </r>
    <r>
      <rPr>
        <sz val="12"/>
        <color theme="1"/>
        <rFont val="標楷體"/>
        <charset val="136"/>
      </rPr>
      <t>計算公式</t>
    </r>
    <phoneticPr fontId="7" type="noConversion"/>
  </si>
  <si>
    <r>
      <rPr>
        <sz val="12"/>
        <color theme="1"/>
        <rFont val="標楷體"/>
        <charset val="136"/>
      </rPr>
      <t>年耗電量</t>
    </r>
    <r>
      <rPr>
        <sz val="12"/>
        <color theme="1"/>
        <rFont val="Times New Roman"/>
        <family val="1"/>
      </rPr>
      <t>Enk</t>
    </r>
    <phoneticPr fontId="7" type="noConversion"/>
  </si>
  <si>
    <t>kWh/yr</t>
    <phoneticPr fontId="7" type="noConversion"/>
  </si>
  <si>
    <t>kWh/(m2.yr)</t>
  </si>
  <si>
    <t>kgCO2/(m2.yr)</t>
  </si>
  <si>
    <t>分</t>
  </si>
  <si>
    <t>等級</t>
    <phoneticPr fontId="7" type="noConversion"/>
  </si>
  <si>
    <t>總樓地板面積</t>
    <phoneticPr fontId="7" type="noConversion"/>
  </si>
  <si>
    <t xml:space="preserve"> (m2)</t>
  </si>
  <si>
    <t>層</t>
  </si>
  <si>
    <t>m3</t>
  </si>
  <si>
    <t>月份</t>
    <phoneticPr fontId="7" type="noConversion"/>
  </si>
  <si>
    <t>1月(31 天)</t>
    <phoneticPr fontId="7" type="noConversion"/>
  </si>
  <si>
    <t>2月(28 天)</t>
    <phoneticPr fontId="7" type="noConversion"/>
  </si>
  <si>
    <t>3月(31 天)</t>
    <phoneticPr fontId="7" type="noConversion"/>
  </si>
  <si>
    <t>4月(30 天)</t>
    <phoneticPr fontId="7" type="noConversion"/>
  </si>
  <si>
    <t>5月(31 天)</t>
    <phoneticPr fontId="7" type="noConversion"/>
  </si>
  <si>
    <t>6月(30 天)</t>
    <phoneticPr fontId="7" type="noConversion"/>
  </si>
  <si>
    <t>7月(31 天)</t>
    <phoneticPr fontId="7" type="noConversion"/>
  </si>
  <si>
    <t>8月(31 天)</t>
    <phoneticPr fontId="7" type="noConversion"/>
  </si>
  <si>
    <t>9月(30 天)</t>
    <phoneticPr fontId="7" type="noConversion"/>
  </si>
  <si>
    <t>10月(31 天)</t>
    <phoneticPr fontId="7" type="noConversion"/>
  </si>
  <si>
    <t>11月(30 天)</t>
    <phoneticPr fontId="7" type="noConversion"/>
  </si>
  <si>
    <t>12月(31 天)</t>
    <phoneticPr fontId="7" type="noConversion"/>
  </si>
  <si>
    <t>kWh</t>
  </si>
  <si>
    <t>kWh/日</t>
  </si>
  <si>
    <t>％</t>
    <phoneticPr fontId="7" type="noConversion"/>
  </si>
  <si>
    <t>單月用電</t>
    <phoneticPr fontId="7" type="noConversion"/>
  </si>
  <si>
    <t>大分類</t>
    <phoneticPr fontId="7" type="noConversion"/>
  </si>
  <si>
    <t>耗能分區</t>
    <phoneticPr fontId="7" type="noConversion"/>
  </si>
  <si>
    <t>全年空調</t>
    <phoneticPr fontId="7" type="noConversion"/>
  </si>
  <si>
    <t>間歇空調</t>
    <phoneticPr fontId="7" type="noConversion"/>
  </si>
  <si>
    <t>北部</t>
    <phoneticPr fontId="7" type="noConversion"/>
  </si>
  <si>
    <t>中部</t>
    <phoneticPr fontId="7" type="noConversion"/>
  </si>
  <si>
    <t>南部</t>
    <phoneticPr fontId="7" type="noConversion"/>
  </si>
  <si>
    <t>住宿類</t>
    <phoneticPr fontId="7" type="noConversion"/>
  </si>
  <si>
    <r>
      <rPr>
        <sz val="12"/>
        <color theme="1"/>
        <rFont val="Helvetica"/>
        <family val="2"/>
      </rPr>
      <t>空調A</t>
    </r>
    <r>
      <rPr>
        <sz val="12"/>
        <color theme="1"/>
        <rFont val="Cambria"/>
        <family val="1"/>
      </rPr>
      <t>EUI</t>
    </r>
    <r>
      <rPr>
        <sz val="12"/>
        <color theme="1"/>
        <rFont val="DFKaiShu-SB-Estd-BF"/>
        <family val="2"/>
        <charset val="136"/>
      </rPr>
      <t>(kWh/m2.yr)</t>
    </r>
    <phoneticPr fontId="7" type="noConversion"/>
  </si>
  <si>
    <r>
      <rPr>
        <sz val="12"/>
        <color theme="1"/>
        <rFont val="Helvetica"/>
        <family val="2"/>
      </rPr>
      <t>照明L</t>
    </r>
    <r>
      <rPr>
        <sz val="12"/>
        <color theme="1"/>
        <rFont val="Cambria"/>
        <family val="1"/>
      </rPr>
      <t>EUI</t>
    </r>
    <r>
      <rPr>
        <sz val="12"/>
        <color theme="1"/>
        <rFont val="DFKaiShu-SB-Estd-BF"/>
        <family val="2"/>
        <charset val="136"/>
      </rPr>
      <t xml:space="preserve">
(kWh/m2.yr)</t>
    </r>
    <phoneticPr fontId="7" type="noConversion"/>
  </si>
  <si>
    <r>
      <rPr>
        <sz val="12"/>
        <color theme="1"/>
        <rFont val="Helvetica"/>
        <family val="2"/>
      </rPr>
      <t>電器E</t>
    </r>
    <r>
      <rPr>
        <sz val="12"/>
        <color theme="1"/>
        <rFont val="Cambria"/>
        <family val="1"/>
      </rPr>
      <t>EUI
(kWh/m2.yr)</t>
    </r>
    <phoneticPr fontId="7" type="noConversion"/>
  </si>
  <si>
    <t>A1</t>
    <phoneticPr fontId="7" type="noConversion"/>
  </si>
  <si>
    <t>A2</t>
    <phoneticPr fontId="7" type="noConversion"/>
  </si>
  <si>
    <t>A3</t>
    <phoneticPr fontId="7" type="noConversion"/>
  </si>
  <si>
    <t>A4</t>
    <phoneticPr fontId="7" type="noConversion"/>
  </si>
  <si>
    <t>A5</t>
    <phoneticPr fontId="7" type="noConversion"/>
  </si>
  <si>
    <t>租宿舍或民宿</t>
    <phoneticPr fontId="7" type="noConversion"/>
  </si>
  <si>
    <t xml:space="preserve">小型護理或長照機構(H-1、H-2) </t>
    <phoneticPr fontId="7" type="noConversion"/>
  </si>
  <si>
    <t xml:space="preserve">小型日照機構、幼兒園(H-1、H-2) </t>
    <phoneticPr fontId="7" type="noConversion"/>
  </si>
  <si>
    <t xml:space="preserve">值班宿舍或招待所 </t>
    <phoneticPr fontId="7" type="noConversion"/>
  </si>
  <si>
    <t>學生宿舍(有寒暑假之學校住宿)</t>
    <phoneticPr fontId="7" type="noConversion"/>
  </si>
  <si>
    <r>
      <t xml:space="preserve">耗能分區
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代碼</t>
    </r>
    <r>
      <rPr>
        <sz val="12"/>
        <color theme="1"/>
        <rFont val="Cambria"/>
        <family val="1"/>
      </rPr>
      <t>)</t>
    </r>
    <phoneticPr fontId="7" type="noConversion"/>
  </si>
  <si>
    <t>行政辦公大樓</t>
    <phoneticPr fontId="7" type="noConversion"/>
  </si>
  <si>
    <t>B1</t>
    <phoneticPr fontId="7" type="noConversion"/>
  </si>
  <si>
    <t>B2</t>
    <phoneticPr fontId="7" type="noConversion"/>
  </si>
  <si>
    <t>B3</t>
    <phoneticPr fontId="7" type="noConversion"/>
  </si>
  <si>
    <t>B4</t>
    <phoneticPr fontId="7" type="noConversion"/>
  </si>
  <si>
    <r>
      <rPr>
        <sz val="12"/>
        <color theme="1"/>
        <rFont val="Helvetica"/>
        <family val="2"/>
      </rPr>
      <t>企業商辦大樓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五都主要商圈、中央空調、大銀行或大國際品牌企業進駐、大廳有大訪客休息</t>
    </r>
    <phoneticPr fontId="7" type="noConversion"/>
  </si>
  <si>
    <t>企業商辯大樓專用大廳或專用走廊休息區等次空間</t>
    <phoneticPr fontId="7" type="noConversion"/>
  </si>
  <si>
    <t>一般辦公大樓專用大或專用走廊休息區等次空間</t>
    <phoneticPr fontId="7" type="noConversion"/>
  </si>
  <si>
    <t>一般辦公大樓(一般商辦、政府辦公、分租型辦公)</t>
    <phoneticPr fontId="7" type="noConversion"/>
  </si>
  <si>
    <t xml:space="preserve">國家圖書館或六都總圖書館之大廳 (含動態展區與休息廳) </t>
  </si>
  <si>
    <t>國家圖書館或六都總圖書館或大學總圖書館之行政辦公區</t>
    <phoneticPr fontId="7" type="noConversion"/>
  </si>
  <si>
    <t>C1以外圖書館之書閱覽區</t>
    <phoneticPr fontId="7" type="noConversion"/>
  </si>
  <si>
    <t>國家圖書館或六都總圖書館之書/ 閱覽區</t>
    <phoneticPr fontId="7" type="noConversion"/>
  </si>
  <si>
    <t>C1</t>
    <phoneticPr fontId="7" type="noConversion"/>
  </si>
  <si>
    <t>C2</t>
    <phoneticPr fontId="7" type="noConversion"/>
  </si>
  <si>
    <t>C3</t>
    <phoneticPr fontId="7" type="noConversion"/>
  </si>
  <si>
    <t>C4</t>
    <phoneticPr fontId="7" type="noConversion"/>
  </si>
  <si>
    <t>C5</t>
    <phoneticPr fontId="7" type="noConversion"/>
  </si>
  <si>
    <r>
      <rPr>
        <sz val="12"/>
        <color theme="1"/>
        <rFont val="Helvetica"/>
        <family val="2"/>
      </rPr>
      <t>圖書館</t>
    </r>
    <r>
      <rPr>
        <sz val="12"/>
        <color theme="1"/>
        <rFont val="Cambria"/>
        <family val="1"/>
      </rPr>
      <t>(專用演講、展覽另計)</t>
    </r>
    <phoneticPr fontId="7" type="noConversion"/>
  </si>
  <si>
    <t>C1以外圖書館之大廳(含動態展區與休息廳)</t>
    <phoneticPr fontId="7" type="noConversion"/>
  </si>
  <si>
    <t>C6</t>
    <phoneticPr fontId="7" type="noConversion"/>
  </si>
  <si>
    <t>C7</t>
    <phoneticPr fontId="7" type="noConversion"/>
  </si>
  <si>
    <t>C8</t>
    <phoneticPr fontId="7" type="noConversion"/>
  </si>
  <si>
    <t>大學總圖書館之書庫/閱覽區</t>
    <phoneticPr fontId="7" type="noConversion"/>
  </si>
  <si>
    <t>大學總圖書館之大廳(含動態展區與休息廳)</t>
    <phoneticPr fontId="7" type="noConversion"/>
  </si>
  <si>
    <t>C1以外圖書館之行政辦公區</t>
    <phoneticPr fontId="7" type="noConversion"/>
  </si>
  <si>
    <r>
      <rPr>
        <sz val="12"/>
        <color theme="1"/>
        <rFont val="Helvetica"/>
        <family val="2"/>
      </rPr>
      <t>文化中心、生活美學館</t>
    </r>
    <r>
      <rPr>
        <sz val="12"/>
        <color theme="1"/>
        <rFont val="Cambria"/>
        <family val="1"/>
      </rPr>
      <t>(演藝廳、演講廳參見F、G)</t>
    </r>
    <phoneticPr fontId="7" type="noConversion"/>
  </si>
  <si>
    <t>E1</t>
    <phoneticPr fontId="7" type="noConversion"/>
  </si>
  <si>
    <t>E2</t>
    <phoneticPr fontId="7" type="noConversion"/>
  </si>
  <si>
    <t>E3</t>
    <phoneticPr fontId="7" type="noConversion"/>
  </si>
  <si>
    <t>F1</t>
    <phoneticPr fontId="7" type="noConversion"/>
  </si>
  <si>
    <t>D1</t>
    <phoneticPr fontId="7" type="noConversion"/>
  </si>
  <si>
    <t>D2</t>
    <phoneticPr fontId="7" type="noConversion"/>
  </si>
  <si>
    <t>D3</t>
    <phoneticPr fontId="7" type="noConversion"/>
  </si>
  <si>
    <t>D4</t>
    <phoneticPr fontId="7" type="noConversion"/>
  </si>
  <si>
    <t>D5</t>
    <phoneticPr fontId="7" type="noConversion"/>
  </si>
  <si>
    <t>展覽類(博物館、美術館、藝文中心之展覽區，專用演講、演繹另計)</t>
    <phoneticPr fontId="7" type="noConversion"/>
  </si>
  <si>
    <t>展覽類行政辦公區</t>
    <phoneticPr fontId="7" type="noConversion"/>
  </si>
  <si>
    <t>大廳</t>
    <phoneticPr fontId="7" type="noConversion"/>
  </si>
  <si>
    <t>行政辦公區</t>
    <phoneticPr fontId="7" type="noConversion"/>
  </si>
  <si>
    <t>63 59</t>
  </si>
  <si>
    <t>F2</t>
    <phoneticPr fontId="7" type="noConversion"/>
  </si>
  <si>
    <t>F3</t>
    <phoneticPr fontId="7" type="noConversion"/>
  </si>
  <si>
    <t>F4</t>
    <phoneticPr fontId="7" type="noConversion"/>
  </si>
  <si>
    <t>G1</t>
    <phoneticPr fontId="7" type="noConversion"/>
  </si>
  <si>
    <t>G2</t>
    <phoneticPr fontId="7" type="noConversion"/>
  </si>
  <si>
    <t>H1</t>
    <phoneticPr fontId="7" type="noConversion"/>
  </si>
  <si>
    <t>H2</t>
    <phoneticPr fontId="7" type="noConversion"/>
  </si>
  <si>
    <t>H3</t>
    <phoneticPr fontId="7" type="noConversion"/>
  </si>
  <si>
    <t>H4</t>
    <phoneticPr fontId="7" type="noConversion"/>
  </si>
  <si>
    <t>H5</t>
    <phoneticPr fontId="7" type="noConversion"/>
  </si>
  <si>
    <t>H6</t>
    <phoneticPr fontId="7" type="noConversion"/>
  </si>
  <si>
    <t>H7</t>
    <phoneticPr fontId="7" type="noConversion"/>
  </si>
  <si>
    <t>H8</t>
    <phoneticPr fontId="7" type="noConversion"/>
  </si>
  <si>
    <t>H9</t>
    <phoneticPr fontId="7" type="noConversion"/>
  </si>
  <si>
    <t>H10</t>
    <phoneticPr fontId="7" type="noConversion"/>
  </si>
  <si>
    <r>
      <rPr>
        <sz val="12"/>
        <color theme="1"/>
        <rFont val="DFKaiShu-SB-Estd-BF"/>
        <family val="1"/>
      </rPr>
      <t>200</t>
    </r>
    <r>
      <rPr>
        <sz val="12"/>
        <color theme="1"/>
        <rFont val="DFKaiShu-SB-Estd-BF"/>
        <family val="2"/>
        <charset val="136"/>
      </rPr>
      <t>人以上體育館、大會議與其專屬大廳</t>
    </r>
    <phoneticPr fontId="7" type="noConversion"/>
  </si>
  <si>
    <r>
      <rPr>
        <sz val="12"/>
        <color theme="1"/>
        <rFont val="Helvetica"/>
        <family val="2"/>
      </rPr>
      <t>少於</t>
    </r>
    <r>
      <rPr>
        <sz val="12"/>
        <color theme="1"/>
        <rFont val="Cambria"/>
        <family val="1"/>
      </rPr>
      <t>200</t>
    </r>
    <r>
      <rPr>
        <sz val="12"/>
        <color theme="1"/>
        <rFont val="Helvetica"/>
        <family val="2"/>
      </rPr>
      <t>人之體育館、中小型會議或藝文教室與其專屬門走廊</t>
    </r>
    <phoneticPr fontId="7" type="noConversion"/>
  </si>
  <si>
    <t>體育館、演講中心行政辦公區</t>
    <phoneticPr fontId="7" type="noConversion"/>
  </si>
  <si>
    <t>國家級演藝與其專屬門廳走廊</t>
    <phoneticPr fontId="7" type="noConversion"/>
  </si>
  <si>
    <t>一般級別演藝與其專屬門走廊</t>
    <phoneticPr fontId="7" type="noConversion"/>
  </si>
  <si>
    <t>飯店客房區</t>
    <phoneticPr fontId="7" type="noConversion"/>
  </si>
  <si>
    <r>
      <rPr>
        <sz val="12"/>
        <color theme="1"/>
        <rFont val="Helvetica"/>
        <family val="2"/>
      </rPr>
      <t>店客房區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冬季供暖房型</t>
    </r>
    <r>
      <rPr>
        <sz val="12"/>
        <color theme="1"/>
        <rFont val="Cambria"/>
        <family val="1"/>
      </rPr>
      <t>)</t>
    </r>
    <phoneticPr fontId="7" type="noConversion"/>
  </si>
  <si>
    <r>
      <rPr>
        <sz val="12"/>
        <color theme="1"/>
        <rFont val="Helvetica"/>
        <family val="2"/>
      </rPr>
      <t>出租專用體育館、會議廳或藝文教室</t>
    </r>
    <r>
      <rPr>
        <sz val="12"/>
        <color theme="1"/>
        <rFont val="Cambria"/>
        <family val="1"/>
      </rPr>
      <t>(其他行政辦公區內會議室歸該分區處理)</t>
    </r>
    <phoneticPr fontId="7" type="noConversion"/>
  </si>
  <si>
    <t>有聲光控制舞台之演藝廳</t>
    <phoneticPr fontId="7" type="noConversion"/>
  </si>
  <si>
    <t>飯店(餐廳、商店、休閒區建其他分類)</t>
    <phoneticPr fontId="7" type="noConversion"/>
  </si>
  <si>
    <t>飯店8小時一般行政辦公區</t>
    <phoneticPr fontId="7" type="noConversion"/>
  </si>
  <si>
    <t>飯店餐飲宴會部行政辦公區</t>
    <phoneticPr fontId="7" type="noConversion"/>
  </si>
  <si>
    <t>客房設施部維管辦公區</t>
    <phoneticPr fontId="7" type="noConversion"/>
  </si>
  <si>
    <t>飯店櫃檯接待大廳休息區</t>
    <phoneticPr fontId="7" type="noConversion"/>
  </si>
  <si>
    <t>員工休息、盥洗室</t>
    <phoneticPr fontId="7" type="noConversion"/>
  </si>
  <si>
    <t>飯店附設游泳池區</t>
    <phoneticPr fontId="7" type="noConversion"/>
  </si>
  <si>
    <t>飯店附設運動中心</t>
    <phoneticPr fontId="7" type="noConversion"/>
  </si>
  <si>
    <t>宴會廳(主要以宴客為主、不含專用廚房，以12餐之70%計)</t>
    <phoneticPr fontId="7" type="noConversion"/>
  </si>
  <si>
    <t>I1</t>
    <phoneticPr fontId="7" type="noConversion"/>
  </si>
  <si>
    <t>I2</t>
    <phoneticPr fontId="7" type="noConversion"/>
  </si>
  <si>
    <t>I3</t>
    <phoneticPr fontId="7" type="noConversion"/>
  </si>
  <si>
    <t>I4</t>
    <phoneticPr fontId="7" type="noConversion"/>
  </si>
  <si>
    <t>I5</t>
    <phoneticPr fontId="7" type="noConversion"/>
  </si>
  <si>
    <t>I6</t>
    <phoneticPr fontId="7" type="noConversion"/>
  </si>
  <si>
    <t>I7</t>
    <phoneticPr fontId="7" type="noConversion"/>
  </si>
  <si>
    <t>J1</t>
    <phoneticPr fontId="7" type="noConversion"/>
  </si>
  <si>
    <t>J2</t>
    <phoneticPr fontId="7" type="noConversion"/>
  </si>
  <si>
    <t>J3</t>
    <phoneticPr fontId="7" type="noConversion"/>
  </si>
  <si>
    <t>J4</t>
    <phoneticPr fontId="7" type="noConversion"/>
  </si>
  <si>
    <t>餐飲類(專用廚房、吧台區以外的餐廳區)</t>
    <phoneticPr fontId="7" type="noConversion"/>
  </si>
  <si>
    <t>商店娛樂類</t>
    <phoneticPr fontId="7" type="noConversion"/>
  </si>
  <si>
    <t>輕食類或咖啡用餐區(不含吧與廚房區)</t>
  </si>
  <si>
    <t>火鍋、燒烤店(含廚房)</t>
  </si>
  <si>
    <t>12小時高照明商場(精品專櫃區)</t>
  </si>
  <si>
    <r>
      <rPr>
        <sz val="12"/>
        <color theme="1"/>
        <rFont val="Helvetica"/>
        <family val="2"/>
      </rPr>
      <t>供一餐餐用餐區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不含專用廚房</t>
    </r>
    <r>
      <rPr>
        <sz val="12"/>
        <color theme="1"/>
        <rFont val="Cambria"/>
        <family val="1"/>
      </rPr>
      <t>)</t>
    </r>
    <phoneticPr fontId="7" type="noConversion"/>
  </si>
  <si>
    <r>
      <rPr>
        <sz val="12"/>
        <color theme="1"/>
        <rFont val="Helvetica"/>
        <family val="2"/>
      </rPr>
      <t>供午晚兩餐餐廳用餐區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不含專用廚房</t>
    </r>
    <r>
      <rPr>
        <sz val="12"/>
        <color theme="1"/>
        <rFont val="Cambria"/>
        <family val="1"/>
      </rPr>
      <t>)</t>
    </r>
    <phoneticPr fontId="7" type="noConversion"/>
  </si>
  <si>
    <r>
      <rPr>
        <sz val="12"/>
        <color theme="1"/>
        <rFont val="Helvetica"/>
        <family val="2"/>
      </rPr>
      <t>供三餐餐用餐區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不含專用廚房</t>
    </r>
    <r>
      <rPr>
        <sz val="12"/>
        <color theme="1"/>
        <rFont val="Cambria"/>
        <family val="1"/>
      </rPr>
      <t>)</t>
    </r>
    <phoneticPr fontId="7" type="noConversion"/>
  </si>
  <si>
    <r>
      <rPr>
        <sz val="12"/>
        <color theme="1"/>
        <rFont val="Cambria"/>
        <family val="1"/>
      </rPr>
      <t>24</t>
    </r>
    <r>
      <rPr>
        <sz val="12"/>
        <color theme="1"/>
        <rFont val="Helvetica"/>
        <family val="2"/>
      </rPr>
      <t>餐用餐區</t>
    </r>
    <r>
      <rPr>
        <sz val="12"/>
        <color theme="1"/>
        <rFont val="Cambria"/>
        <family val="1"/>
      </rPr>
      <t xml:space="preserve"> (</t>
    </r>
    <r>
      <rPr>
        <sz val="12"/>
        <color theme="1"/>
        <rFont val="Helvetica"/>
        <family val="2"/>
      </rPr>
      <t>不含專用廚房</t>
    </r>
    <r>
      <rPr>
        <sz val="12"/>
        <color theme="1"/>
        <rFont val="Cambria"/>
        <family val="1"/>
      </rPr>
      <t>)</t>
    </r>
    <phoneticPr fontId="7" type="noConversion"/>
  </si>
  <si>
    <r>
      <rPr>
        <sz val="12"/>
        <color theme="1"/>
        <rFont val="Helvetica"/>
        <family val="2"/>
      </rPr>
      <t>百貨商場美食街</t>
    </r>
    <r>
      <rPr>
        <sz val="12"/>
        <color theme="1"/>
        <rFont val="Cambria"/>
        <family val="1"/>
      </rPr>
      <t xml:space="preserve"> (</t>
    </r>
    <r>
      <rPr>
        <sz val="12"/>
        <color theme="1"/>
        <rFont val="Helvetica"/>
        <family val="2"/>
      </rPr>
      <t>不含專用廚房</t>
    </r>
    <r>
      <rPr>
        <sz val="12"/>
        <color theme="1"/>
        <rFont val="Cambria"/>
        <family val="1"/>
      </rPr>
      <t>)</t>
    </r>
    <phoneticPr fontId="7" type="noConversion"/>
  </si>
  <si>
    <r>
      <rPr>
        <sz val="12"/>
        <color theme="1"/>
        <rFont val="Cambria"/>
        <family val="1"/>
      </rPr>
      <t>12</t>
    </r>
    <r>
      <rPr>
        <sz val="12"/>
        <color theme="1"/>
        <rFont val="Helvetica"/>
        <family val="2"/>
      </rPr>
      <t>小時一般商店、百貨專櫃、名店</t>
    </r>
    <phoneticPr fontId="7" type="noConversion"/>
  </si>
  <si>
    <r>
      <rPr>
        <sz val="12"/>
        <color theme="1"/>
        <rFont val="Cambria"/>
        <family val="1"/>
      </rPr>
      <t>24hr</t>
    </r>
    <r>
      <rPr>
        <sz val="12"/>
        <color theme="1"/>
        <rFont val="Helvetica"/>
        <family val="2"/>
      </rPr>
      <t>零售商店</t>
    </r>
    <phoneticPr fontId="7" type="noConversion"/>
  </si>
  <si>
    <r>
      <rPr>
        <sz val="12"/>
        <color theme="1"/>
        <rFont val="Cambria"/>
        <family val="1"/>
      </rPr>
      <t>24hr</t>
    </r>
    <r>
      <rPr>
        <sz val="12"/>
        <color theme="1"/>
        <rFont val="Helvetica"/>
        <family val="2"/>
      </rPr>
      <t>高照明商</t>
    </r>
    <r>
      <rPr>
        <sz val="12"/>
        <color theme="1"/>
        <rFont val="DFKaiShu-SB-Estd-BF"/>
        <family val="1"/>
        <charset val="136"/>
      </rPr>
      <t>場、便利商店(沿街型)</t>
    </r>
    <phoneticPr fontId="7" type="noConversion"/>
  </si>
  <si>
    <r>
      <rPr>
        <sz val="12"/>
        <color theme="1"/>
        <rFont val="DFKaiShu-SB-Estd-BF"/>
        <family val="1"/>
      </rPr>
      <t>15</t>
    </r>
    <r>
      <rPr>
        <sz val="12"/>
        <color theme="1"/>
        <rFont val="DFKaiShu-SB-Estd-BF"/>
        <family val="2"/>
        <charset val="136"/>
      </rPr>
      <t>小時超市、量販店一般貨品區</t>
    </r>
    <phoneticPr fontId="7" type="noConversion"/>
  </si>
  <si>
    <t>超市、量販店冰櫃式冷凍冷藏生鮮區</t>
    <phoneticPr fontId="7" type="noConversion"/>
  </si>
  <si>
    <t>電影院、影城</t>
    <phoneticPr fontId="7" type="noConversion"/>
  </si>
  <si>
    <r>
      <rPr>
        <sz val="12"/>
        <color theme="1"/>
        <rFont val="Cambria"/>
        <family val="1"/>
      </rPr>
      <t>12</t>
    </r>
    <r>
      <rPr>
        <sz val="12"/>
        <color theme="1"/>
        <rFont val="Helvetica"/>
        <family val="2"/>
      </rPr>
      <t>小時小鋼珠店、電子遊樂場</t>
    </r>
    <phoneticPr fontId="7" type="noConversion"/>
  </si>
  <si>
    <r>
      <rPr>
        <sz val="12"/>
        <color theme="1"/>
        <rFont val="Cambria"/>
        <family val="1"/>
      </rPr>
      <t>24</t>
    </r>
    <r>
      <rPr>
        <sz val="12"/>
        <color theme="1"/>
        <rFont val="Helvetica"/>
        <family val="2"/>
      </rPr>
      <t>小</t>
    </r>
    <r>
      <rPr>
        <sz val="12"/>
        <color theme="1"/>
        <rFont val="Cambria"/>
        <family val="1"/>
      </rPr>
      <t>KTV</t>
    </r>
    <phoneticPr fontId="7" type="noConversion"/>
  </si>
  <si>
    <r>
      <rPr>
        <sz val="12"/>
        <color theme="1"/>
        <rFont val="Cambria"/>
        <family val="1"/>
      </rPr>
      <t>24小</t>
    </r>
    <r>
      <rPr>
        <sz val="12"/>
        <color theme="1"/>
        <rFont val="Helvetica"/>
        <family val="2"/>
      </rPr>
      <t>時網咖</t>
    </r>
    <phoneticPr fontId="7" type="noConversion"/>
  </si>
  <si>
    <t>醫院病房區</t>
    <phoneticPr fontId="7" type="noConversion"/>
  </si>
  <si>
    <r>
      <rPr>
        <sz val="12"/>
        <color theme="1"/>
        <rFont val="Helvetica"/>
        <family val="2"/>
      </rPr>
      <t>門診醫療空間或</t>
    </r>
    <r>
      <rPr>
        <sz val="12"/>
        <color theme="1"/>
        <rFont val="Cambria"/>
        <family val="1"/>
      </rPr>
      <t xml:space="preserve"> G-3</t>
    </r>
    <r>
      <rPr>
        <sz val="12"/>
        <color theme="1"/>
        <rFont val="Helvetica"/>
        <family val="2"/>
      </rPr>
      <t>類之小醫院、私人診所</t>
    </r>
    <phoneticPr fontId="7" type="noConversion"/>
  </si>
  <si>
    <r>
      <rPr>
        <sz val="12"/>
        <color theme="1"/>
        <rFont val="Cambria"/>
        <family val="1"/>
      </rPr>
      <t>24</t>
    </r>
    <r>
      <rPr>
        <sz val="12"/>
        <color theme="1"/>
        <rFont val="Helvetica"/>
        <family val="2"/>
      </rPr>
      <t>小時加護病房區、急診部</t>
    </r>
    <phoneticPr fontId="7" type="noConversion"/>
  </si>
  <si>
    <r>
      <rPr>
        <sz val="12"/>
        <color theme="1"/>
        <rFont val="Cambria"/>
        <family val="1"/>
      </rPr>
      <t>24</t>
    </r>
    <r>
      <rPr>
        <sz val="12"/>
        <color theme="1"/>
        <rFont val="Helvetica"/>
        <family val="2"/>
      </rPr>
      <t>小時手術房區、檢驗部</t>
    </r>
    <phoneticPr fontId="7" type="noConversion"/>
  </si>
  <si>
    <t>醫院一般行政辮公區與設施維館管理區域</t>
    <phoneticPr fontId="7" type="noConversion"/>
  </si>
  <si>
    <t>腫瘤放射重設備</t>
    <phoneticPr fontId="7" type="noConversion"/>
  </si>
  <si>
    <r>
      <rPr>
        <sz val="12"/>
        <color theme="1"/>
        <rFont val="Helvetica"/>
        <family val="2"/>
      </rPr>
      <t>護理或長照機構</t>
    </r>
    <r>
      <rPr>
        <sz val="12"/>
        <color theme="1"/>
        <rFont val="Cambria"/>
        <family val="1"/>
      </rPr>
      <t xml:space="preserve"> (F-1)</t>
    </r>
    <phoneticPr fontId="7" type="noConversion"/>
  </si>
  <si>
    <t>日照機構、幼兒(F-1)</t>
    <phoneticPr fontId="7" type="noConversion"/>
  </si>
  <si>
    <t>醫院大含掛號業務大廳</t>
    <phoneticPr fontId="7" type="noConversion"/>
  </si>
  <si>
    <t>J5</t>
    <phoneticPr fontId="7" type="noConversion"/>
  </si>
  <si>
    <t>J6</t>
    <phoneticPr fontId="7" type="noConversion"/>
  </si>
  <si>
    <t>J7</t>
    <phoneticPr fontId="7" type="noConversion"/>
  </si>
  <si>
    <t>J8</t>
    <phoneticPr fontId="7" type="noConversion"/>
  </si>
  <si>
    <t>J9</t>
    <phoneticPr fontId="7" type="noConversion"/>
  </si>
  <si>
    <t>J10</t>
    <phoneticPr fontId="7" type="noConversion"/>
  </si>
  <si>
    <t>K1</t>
    <phoneticPr fontId="7" type="noConversion"/>
  </si>
  <si>
    <t>K2</t>
    <phoneticPr fontId="7" type="noConversion"/>
  </si>
  <si>
    <t>K3</t>
    <phoneticPr fontId="7" type="noConversion"/>
  </si>
  <si>
    <t>K4</t>
    <phoneticPr fontId="7" type="noConversion"/>
  </si>
  <si>
    <t>K5</t>
    <phoneticPr fontId="7" type="noConversion"/>
  </si>
  <si>
    <t>K6</t>
    <phoneticPr fontId="7" type="noConversion"/>
  </si>
  <si>
    <t>K7</t>
    <phoneticPr fontId="7" type="noConversion"/>
  </si>
  <si>
    <t>K8</t>
    <phoneticPr fontId="7" type="noConversion"/>
  </si>
  <si>
    <t>K9</t>
    <phoneticPr fontId="7" type="noConversion"/>
  </si>
  <si>
    <t>醫院附屬餐飲、商店參見其他分類</t>
    <phoneticPr fontId="7" type="noConversion"/>
  </si>
  <si>
    <t>運動休閒類</t>
    <phoneticPr fontId="7" type="noConversion"/>
  </si>
  <si>
    <t>L1</t>
    <phoneticPr fontId="7" type="noConversion"/>
  </si>
  <si>
    <t>L2</t>
    <phoneticPr fontId="7" type="noConversion"/>
  </si>
  <si>
    <t>L3</t>
    <phoneticPr fontId="7" type="noConversion"/>
  </si>
  <si>
    <t>L42</t>
    <phoneticPr fontId="7" type="noConversion"/>
  </si>
  <si>
    <t>L41</t>
    <phoneticPr fontId="7" type="noConversion"/>
  </si>
  <si>
    <t>L5</t>
    <phoneticPr fontId="7" type="noConversion"/>
  </si>
  <si>
    <t>L61</t>
    <phoneticPr fontId="7" type="noConversion"/>
  </si>
  <si>
    <t>L62</t>
    <phoneticPr fontId="7" type="noConversion"/>
  </si>
  <si>
    <t>L63</t>
    <phoneticPr fontId="7" type="noConversion"/>
  </si>
  <si>
    <t>NB1</t>
    <phoneticPr fontId="7" type="noConversion"/>
  </si>
  <si>
    <t>NB2</t>
    <phoneticPr fontId="7" type="noConversion"/>
  </si>
  <si>
    <t>NB3</t>
  </si>
  <si>
    <t>NB4</t>
  </si>
  <si>
    <t>NB5</t>
  </si>
  <si>
    <t>NB6</t>
  </si>
  <si>
    <t>NB7</t>
  </si>
  <si>
    <t>NB8</t>
  </si>
  <si>
    <t>NB9</t>
  </si>
  <si>
    <t>NB10</t>
  </si>
  <si>
    <t>NB11</t>
  </si>
  <si>
    <t>NB12</t>
  </si>
  <si>
    <t>NB13</t>
  </si>
  <si>
    <t>NB14</t>
  </si>
  <si>
    <t>NB15</t>
  </si>
  <si>
    <r>
      <rPr>
        <sz val="12"/>
        <color theme="1"/>
        <rFont val="Cambria"/>
        <family val="1"/>
      </rPr>
      <t>A</t>
    </r>
    <r>
      <rPr>
        <sz val="12"/>
        <color theme="1"/>
        <rFont val="Helvetica"/>
        <family val="2"/>
      </rPr>
      <t>級全天空調展覽區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低濕控制</t>
    </r>
    <r>
      <rPr>
        <sz val="12"/>
        <color theme="1"/>
        <rFont val="Cambria"/>
        <family val="1"/>
      </rPr>
      <t>)</t>
    </r>
    <phoneticPr fontId="7" type="noConversion"/>
  </si>
  <si>
    <r>
      <rPr>
        <sz val="12"/>
        <color theme="1"/>
        <rFont val="Cambria"/>
        <family val="1"/>
      </rPr>
      <t>B</t>
    </r>
    <r>
      <rPr>
        <sz val="12"/>
        <color theme="1"/>
        <rFont val="Helvetica"/>
        <family val="2"/>
      </rPr>
      <t>級全天空調展覽區</t>
    </r>
    <phoneticPr fontId="7" type="noConversion"/>
  </si>
  <si>
    <r>
      <rPr>
        <sz val="12"/>
        <color theme="1"/>
        <rFont val="Cambria"/>
        <family val="1"/>
      </rPr>
      <t>B</t>
    </r>
    <r>
      <rPr>
        <sz val="12"/>
        <color theme="1"/>
        <rFont val="Helvetica"/>
        <family val="2"/>
      </rPr>
      <t>級營業時間內空調展覽區</t>
    </r>
    <phoneticPr fontId="7" type="noConversion"/>
  </si>
  <si>
    <t>出租展覽區</t>
    <phoneticPr fontId="7" type="noConversion"/>
  </si>
  <si>
    <r>
      <rPr>
        <sz val="12"/>
        <color theme="1"/>
        <rFont val="Helvetica"/>
        <family val="2"/>
      </rPr>
      <t>非</t>
    </r>
    <r>
      <rPr>
        <sz val="12"/>
        <color theme="1"/>
        <rFont val="Cambria"/>
        <family val="1"/>
      </rPr>
      <t>BERS</t>
    </r>
    <r>
      <rPr>
        <sz val="12"/>
        <color theme="1"/>
        <rFont val="Helvetica"/>
        <family val="2"/>
      </rPr>
      <t>適用分區而供其他綠建築手冊引用之暫行</t>
    </r>
    <r>
      <rPr>
        <sz val="12"/>
        <color theme="1"/>
        <rFont val="Cambria"/>
        <family val="1"/>
      </rPr>
      <t>EUI</t>
    </r>
    <r>
      <rPr>
        <sz val="12"/>
        <color theme="1"/>
        <rFont val="Helvetica"/>
        <family val="2"/>
      </rPr>
      <t>基準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無氣候分區、單一中位值基準)</t>
    </r>
    <phoneticPr fontId="7" type="noConversion"/>
  </si>
  <si>
    <t>全年溫水空調型游泳池</t>
    <phoneticPr fontId="7" type="noConversion"/>
  </si>
  <si>
    <t>通風無空調季節溫水游泳池</t>
  </si>
  <si>
    <t>季節溫水空調型游泳池</t>
    <phoneticPr fontId="7" type="noConversion"/>
  </si>
  <si>
    <t>行政、辦公、設施維護管理區(使用率100%)</t>
    <phoneticPr fontId="7" type="noConversion"/>
  </si>
  <si>
    <t>高樓層球類運動區( 11M高,使用率75%)</t>
    <phoneticPr fontId="7" type="noConversion"/>
  </si>
  <si>
    <t>體能調適運動區 (健身房,使用率100%)</t>
    <phoneticPr fontId="7" type="noConversion"/>
  </si>
  <si>
    <t>多功能教室社區教室、棋藝閱覽室、兒童遊戲室、桌球室、撞球室,使用率62.5%)</t>
    <phoneticPr fontId="7" type="noConversion"/>
  </si>
  <si>
    <t>多功能教室(韻律教室、飛輪教室、舞蹈教室、壁球室, 使用率75 %)</t>
    <phoneticPr fontId="7" type="noConversion"/>
  </si>
  <si>
    <t>室內溜冰區 (使用率100 %)</t>
    <phoneticPr fontId="7" type="noConversion"/>
  </si>
  <si>
    <r>
      <rPr>
        <sz val="12"/>
        <color theme="1"/>
        <rFont val="Helvetica"/>
        <family val="2"/>
      </rPr>
      <t>國小教室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辦公區歸</t>
    </r>
    <r>
      <rPr>
        <sz val="12"/>
        <color theme="1"/>
        <rFont val="Cambria"/>
        <family val="1"/>
      </rPr>
      <t>B3)</t>
    </r>
    <phoneticPr fontId="7" type="noConversion"/>
  </si>
  <si>
    <r>
      <rPr>
        <sz val="12"/>
        <color theme="1"/>
        <rFont val="Helvetica"/>
        <family val="2"/>
      </rPr>
      <t>國中教室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辦公區歸</t>
    </r>
    <r>
      <rPr>
        <sz val="12"/>
        <color theme="1"/>
        <rFont val="Cambria"/>
        <family val="1"/>
      </rPr>
      <t>B3)</t>
    </r>
    <phoneticPr fontId="7" type="noConversion"/>
  </si>
  <si>
    <r>
      <rPr>
        <sz val="12"/>
        <color theme="1"/>
        <rFont val="Helvetica"/>
        <family val="2"/>
      </rPr>
      <t>高中職、大專教室、教師研究室</t>
    </r>
    <r>
      <rPr>
        <sz val="12"/>
        <color theme="1"/>
        <rFont val="Cambria"/>
        <family val="1"/>
      </rPr>
      <t xml:space="preserve"> (</t>
    </r>
    <r>
      <rPr>
        <sz val="12"/>
        <color theme="1"/>
        <rFont val="Helvetica"/>
        <family val="2"/>
      </rPr>
      <t>辦公區歸</t>
    </r>
    <r>
      <rPr>
        <sz val="12"/>
        <color theme="1"/>
        <rFont val="Cambria"/>
        <family val="1"/>
      </rPr>
      <t>B3)</t>
    </r>
    <phoneticPr fontId="7" type="noConversion"/>
  </si>
  <si>
    <t>究機構實驗室</t>
    <phoneticPr fontId="7" type="noConversion"/>
  </si>
  <si>
    <r>
      <rPr>
        <sz val="12"/>
        <color theme="1"/>
        <rFont val="Helvetica"/>
        <family val="2"/>
      </rPr>
      <t>室內體育館</t>
    </r>
    <r>
      <rPr>
        <sz val="12"/>
        <color theme="1"/>
        <rFont val="Cambria"/>
        <family val="1"/>
      </rPr>
      <t>(A-</t>
    </r>
    <r>
      <rPr>
        <sz val="12"/>
        <color theme="1"/>
        <rFont val="DFKaiShu-SB-Estd-BF"/>
        <family val="2"/>
        <charset val="136"/>
      </rPr>
      <t>1)</t>
    </r>
    <phoneticPr fontId="7" type="noConversion"/>
  </si>
  <si>
    <r>
      <rPr>
        <sz val="12"/>
        <color theme="1"/>
        <rFont val="Helvetica"/>
        <family val="2"/>
      </rPr>
      <t>車站、轉運站、航站業務大</t>
    </r>
    <r>
      <rPr>
        <sz val="12"/>
        <color theme="1"/>
        <rFont val="Cambria"/>
        <family val="1"/>
      </rPr>
      <t xml:space="preserve"> (A-2)</t>
    </r>
    <phoneticPr fontId="7" type="noConversion"/>
  </si>
  <si>
    <r>
      <rPr>
        <sz val="12"/>
        <color theme="1"/>
        <rFont val="Cambria"/>
        <family val="1"/>
      </rPr>
      <t>24</t>
    </r>
    <r>
      <rPr>
        <sz val="12"/>
        <color theme="1"/>
        <rFont val="Helvetica"/>
        <family val="2"/>
      </rPr>
      <t>小時作業無空調一般工廠製程區</t>
    </r>
    <r>
      <rPr>
        <sz val="12"/>
        <color theme="1"/>
        <rFont val="Cambria"/>
        <family val="1"/>
      </rPr>
      <t xml:space="preserve"> (</t>
    </r>
    <r>
      <rPr>
        <sz val="12"/>
        <color theme="1"/>
        <rFont val="Helvetica"/>
        <family val="2"/>
      </rPr>
      <t>辦公區歸</t>
    </r>
    <r>
      <rPr>
        <sz val="12"/>
        <color theme="1"/>
        <rFont val="Cambria"/>
        <family val="1"/>
      </rPr>
      <t>B3)</t>
    </r>
    <phoneticPr fontId="7" type="noConversion"/>
  </si>
  <si>
    <r>
      <rPr>
        <sz val="12"/>
        <color theme="1"/>
        <rFont val="Cambria"/>
        <family val="1"/>
      </rPr>
      <t>24</t>
    </r>
    <r>
      <rPr>
        <sz val="12"/>
        <color theme="1"/>
        <rFont val="Helvetica"/>
        <family val="2"/>
      </rPr>
      <t>小時作業空調型一般工廠製程區辦公區歸</t>
    </r>
    <r>
      <rPr>
        <sz val="12"/>
        <color theme="1"/>
        <rFont val="Cambria"/>
        <family val="1"/>
      </rPr>
      <t>B3</t>
    </r>
    <phoneticPr fontId="7" type="noConversion"/>
  </si>
  <si>
    <r>
      <rPr>
        <sz val="12"/>
        <color theme="1"/>
        <rFont val="Cambria"/>
        <family val="1"/>
      </rPr>
      <t>24</t>
    </r>
    <r>
      <rPr>
        <sz val="12"/>
        <color theme="1"/>
        <rFont val="Helvetica"/>
        <family val="2"/>
      </rPr>
      <t>小時作業空調型精密或潔淨製造製程區</t>
    </r>
    <r>
      <rPr>
        <sz val="12"/>
        <color theme="1"/>
        <rFont val="Cambria"/>
        <family val="1"/>
      </rPr>
      <t>(</t>
    </r>
    <r>
      <rPr>
        <sz val="12"/>
        <color theme="1"/>
        <rFont val="Helvetica"/>
        <family val="2"/>
      </rPr>
      <t>辦公區歸</t>
    </r>
    <r>
      <rPr>
        <sz val="12"/>
        <color theme="1"/>
        <rFont val="Cambria"/>
        <family val="1"/>
      </rPr>
      <t xml:space="preserve"> B3)</t>
    </r>
    <phoneticPr fontId="7" type="noConversion"/>
  </si>
  <si>
    <r>
      <rPr>
        <sz val="12"/>
        <color theme="1"/>
        <rFont val="Cambria"/>
        <family val="1"/>
      </rPr>
      <t>10</t>
    </r>
    <r>
      <rPr>
        <sz val="12"/>
        <color theme="1"/>
        <rFont val="Helvetica"/>
        <family val="2"/>
      </rPr>
      <t>小時作業無</t>
    </r>
    <r>
      <rPr>
        <sz val="12"/>
        <color theme="1"/>
        <rFont val="DFKaiShu-SB-Estd-BF"/>
        <family val="2"/>
        <charset val="136"/>
      </rPr>
      <t>空調一般工廠製程區 (公區歸B3)</t>
    </r>
    <phoneticPr fontId="7" type="noConversion"/>
  </si>
  <si>
    <r>
      <rPr>
        <sz val="12"/>
        <color theme="1"/>
        <rFont val="Cambria"/>
        <family val="1"/>
      </rPr>
      <t>10</t>
    </r>
    <r>
      <rPr>
        <sz val="12"/>
        <color theme="1"/>
        <rFont val="Helvetica"/>
        <family val="2"/>
      </rPr>
      <t>小時作業空調型一般工廠製程區辦公區歸</t>
    </r>
    <r>
      <rPr>
        <sz val="12"/>
        <color theme="1"/>
        <rFont val="Cambria"/>
        <family val="1"/>
      </rPr>
      <t>B3</t>
    </r>
    <phoneticPr fontId="7" type="noConversion"/>
  </si>
  <si>
    <r>
      <rPr>
        <sz val="12"/>
        <color theme="1"/>
        <rFont val="Cambria"/>
        <family val="1"/>
      </rPr>
      <t>10</t>
    </r>
    <r>
      <rPr>
        <sz val="12"/>
        <color theme="1"/>
        <rFont val="Helvetica"/>
        <family val="2"/>
      </rPr>
      <t>小時作業空調型精密或潔淨製造</t>
    </r>
    <r>
      <rPr>
        <sz val="12"/>
        <color theme="1"/>
        <rFont val="DFKaiShu-SB-Estd-BF"/>
        <family val="1"/>
        <charset val="136"/>
      </rPr>
      <t>製程區(辦公區歸 B3)</t>
    </r>
    <phoneticPr fontId="7" type="noConversion"/>
  </si>
  <si>
    <t>室內停車場</t>
    <phoneticPr fontId="7" type="noConversion"/>
  </si>
  <si>
    <t>無空調通風型專用倉儲</t>
    <phoneticPr fontId="7" type="noConversion"/>
  </si>
  <si>
    <t>空調型專用倉儲</t>
    <phoneticPr fontId="7" type="noConversion"/>
  </si>
  <si>
    <t>主空間照明密度標準LPD
(W/m2)</t>
    <phoneticPr fontId="7" type="noConversion"/>
  </si>
  <si>
    <r>
      <rPr>
        <sz val="12"/>
        <color theme="1"/>
        <rFont val="Helvetica"/>
        <family val="2"/>
      </rPr>
      <t>主空間人員密度pdi</t>
    </r>
    <r>
      <rPr>
        <sz val="12"/>
        <color theme="1"/>
        <rFont val="Cambria"/>
        <family val="1"/>
      </rPr>
      <t xml:space="preserve">
(人/m2)</t>
    </r>
    <phoneticPr fontId="7" type="noConversion"/>
  </si>
  <si>
    <r>
      <rPr>
        <sz val="12"/>
        <color theme="1"/>
        <rFont val="Helvetica"/>
        <family val="2"/>
      </rPr>
      <t>用水量密度</t>
    </r>
    <r>
      <rPr>
        <sz val="12"/>
        <color theme="1"/>
        <rFont val="Cambria"/>
        <family val="1"/>
      </rPr>
      <t>Qwi
(m3/m2yr)</t>
    </r>
    <phoneticPr fontId="7" type="noConversion"/>
  </si>
  <si>
    <r>
      <rPr>
        <sz val="12"/>
        <color theme="1"/>
        <rFont val="Helvetica"/>
        <family val="2"/>
      </rPr>
      <t>主空間電器密度標準</t>
    </r>
    <r>
      <rPr>
        <sz val="12"/>
        <color theme="1"/>
        <rFont val="Cambria"/>
        <family val="1"/>
      </rPr>
      <t>EPD
(W/m2)</t>
    </r>
    <phoneticPr fontId="7" type="noConversion"/>
  </si>
  <si>
    <t>空調外氣量FA
(CFM/人)</t>
    <phoneticPr fontId="7" type="noConversion"/>
  </si>
  <si>
    <t>週營運時間
WHO
(h/week)</t>
    <phoneticPr fontId="7" type="noConversion"/>
  </si>
  <si>
    <r>
      <rPr>
        <sz val="12"/>
        <color theme="1"/>
        <rFont val="Helvetica"/>
        <family val="2"/>
      </rPr>
      <t>年營運天數
YOD</t>
    </r>
    <r>
      <rPr>
        <sz val="12"/>
        <color theme="1"/>
        <rFont val="Cambria"/>
        <family val="1"/>
      </rPr>
      <t xml:space="preserve">
(day/yr)</t>
    </r>
    <phoneticPr fontId="7" type="noConversion"/>
  </si>
  <si>
    <t>75/間</t>
    <phoneticPr fontId="7" type="noConversion"/>
  </si>
  <si>
    <t>北</t>
    <phoneticPr fontId="7" type="noConversion"/>
  </si>
  <si>
    <t>中</t>
    <phoneticPr fontId="7" type="noConversion"/>
  </si>
  <si>
    <t>南</t>
    <phoneticPr fontId="7" type="noConversion"/>
  </si>
  <si>
    <t>全年</t>
    <phoneticPr fontId="7" type="noConversion"/>
  </si>
  <si>
    <t>間歇</t>
    <phoneticPr fontId="7" type="noConversion"/>
  </si>
  <si>
    <r>
      <rPr>
        <sz val="12"/>
        <color theme="1"/>
        <rFont val="Helvetica"/>
        <family val="2"/>
      </rPr>
      <t>年空調時間</t>
    </r>
    <r>
      <rPr>
        <sz val="12"/>
        <color theme="1"/>
        <rFont val="Cambria"/>
        <family val="1"/>
      </rPr>
      <t>YAH(h/yr)</t>
    </r>
    <phoneticPr fontId="7" type="noConversion"/>
  </si>
  <si>
    <t>75*間</t>
    <phoneticPr fontId="7" type="noConversion"/>
  </si>
  <si>
    <r>
      <rPr>
        <sz val="12"/>
        <color theme="1"/>
        <rFont val="PMingLiU"/>
        <family val="2"/>
        <charset val="136"/>
      </rPr>
      <t>年營運時間</t>
    </r>
    <r>
      <rPr>
        <sz val="12"/>
        <color theme="1"/>
        <rFont val="Helvetica"/>
        <family val="2"/>
      </rPr>
      <t xml:space="preserve">
</t>
    </r>
    <r>
      <rPr>
        <sz val="12"/>
        <color theme="1"/>
        <rFont val="Cambria"/>
        <family val="1"/>
      </rPr>
      <t>YOH
(h/yr)</t>
    </r>
    <phoneticPr fontId="7" type="noConversion"/>
  </si>
  <si>
    <r>
      <rPr>
        <b/>
        <sz val="12"/>
        <color theme="0"/>
        <rFont val="DFKaiShu-SB-Estd-BF"/>
        <family val="2"/>
        <charset val="136"/>
      </rPr>
      <t>單月用電</t>
    </r>
    <phoneticPr fontId="7" type="noConversion"/>
  </si>
  <si>
    <r>
      <rPr>
        <b/>
        <sz val="12"/>
        <color theme="0"/>
        <rFont val="DFKaiShu-SB-Estd-BF"/>
        <family val="2"/>
        <charset val="136"/>
      </rPr>
      <t>雙月用電</t>
    </r>
    <phoneticPr fontId="7" type="noConversion"/>
  </si>
  <si>
    <t>min</t>
    <phoneticPr fontId="7" type="noConversion"/>
  </si>
  <si>
    <t>m</t>
    <phoneticPr fontId="7" type="noConversion"/>
  </si>
  <si>
    <t>max</t>
    <phoneticPr fontId="7" type="noConversion"/>
  </si>
  <si>
    <r>
      <t>m</t>
    </r>
    <r>
      <rPr>
        <b/>
        <vertAlign val="superscript"/>
        <sz val="12"/>
        <color theme="1"/>
        <rFont val="Times New Roman"/>
        <family val="1"/>
      </rPr>
      <t>2</t>
    </r>
  </si>
  <si>
    <r>
      <t>kWh/(m</t>
    </r>
    <r>
      <rPr>
        <b/>
        <vertAlign val="superscript"/>
        <sz val="12"/>
        <color theme="1"/>
        <rFont val="Times New Roman"/>
        <family val="1"/>
      </rPr>
      <t>2</t>
    </r>
    <r>
      <rPr>
        <b/>
        <sz val="12"/>
        <color theme="1"/>
        <rFont val="Times New Roman"/>
        <family val="1"/>
      </rPr>
      <t>.yr)</t>
    </r>
  </si>
  <si>
    <r>
      <rPr>
        <b/>
        <sz val="12"/>
        <color theme="1"/>
        <rFont val="標楷體"/>
        <charset val="136"/>
      </rPr>
      <t>評估分區面積</t>
    </r>
    <r>
      <rPr>
        <b/>
        <sz val="12"/>
        <color theme="1"/>
        <rFont val="Times New Roman"/>
        <family val="1"/>
      </rPr>
      <t>AFe</t>
    </r>
  </si>
  <si>
    <r>
      <t>Σ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 xml:space="preserve"> Afi</t>
    </r>
  </si>
  <si>
    <r>
      <rPr>
        <b/>
        <sz val="12"/>
        <color theme="1"/>
        <rFont val="標楷體"/>
        <charset val="136"/>
      </rPr>
      <t>空調中位值耗電量</t>
    </r>
  </si>
  <si>
    <r>
      <t>Σ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>(AEUImi×Afi)</t>
    </r>
  </si>
  <si>
    <r>
      <rPr>
        <b/>
        <sz val="12"/>
        <color theme="1"/>
        <rFont val="標楷體"/>
        <charset val="136"/>
      </rPr>
      <t>照明中位值耗電量</t>
    </r>
  </si>
  <si>
    <r>
      <t>Σ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>(LEUImi×Afi)</t>
    </r>
  </si>
  <si>
    <r>
      <rPr>
        <b/>
        <sz val="12"/>
        <color theme="1"/>
        <rFont val="標楷體"/>
        <charset val="136"/>
      </rPr>
      <t>電器耗電量</t>
    </r>
  </si>
  <si>
    <r>
      <t>Σ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>(EEUIi×Afi)</t>
    </r>
  </si>
  <si>
    <r>
      <rPr>
        <b/>
        <sz val="12"/>
        <color theme="1"/>
        <rFont val="標楷體"/>
        <charset val="136"/>
      </rPr>
      <t>空調中位值</t>
    </r>
    <r>
      <rPr>
        <b/>
        <sz val="12"/>
        <color theme="1"/>
        <rFont val="Times New Roman"/>
        <family val="1"/>
      </rPr>
      <t>AEUIm</t>
    </r>
  </si>
  <si>
    <r>
      <t>Σ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>(AEUImi×Afi) / AFe</t>
    </r>
  </si>
  <si>
    <r>
      <rPr>
        <b/>
        <sz val="12"/>
        <color theme="1"/>
        <rFont val="標楷體"/>
        <charset val="136"/>
      </rPr>
      <t>照明中位值</t>
    </r>
    <r>
      <rPr>
        <b/>
        <sz val="12"/>
        <color theme="1"/>
        <rFont val="Times New Roman"/>
        <family val="1"/>
      </rPr>
      <t>LEUIm</t>
    </r>
  </si>
  <si>
    <r>
      <t>Σ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>(LEUIlmi×Afi) / AFe</t>
    </r>
  </si>
  <si>
    <r>
      <rPr>
        <b/>
        <sz val="12"/>
        <color theme="1"/>
        <rFont val="標楷體"/>
        <charset val="136"/>
      </rPr>
      <t>電器基準值</t>
    </r>
    <r>
      <rPr>
        <b/>
        <sz val="12"/>
        <color theme="1"/>
        <rFont val="Times New Roman"/>
        <family val="1"/>
      </rPr>
      <t>EEUI</t>
    </r>
  </si>
  <si>
    <r>
      <t>Σ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>(EEUIi×Afi) /AFe</t>
    </r>
  </si>
  <si>
    <r>
      <rPr>
        <b/>
        <sz val="12"/>
        <color theme="1"/>
        <rFont val="標楷體"/>
        <charset val="136"/>
      </rPr>
      <t>耗能分區類別</t>
    </r>
    <r>
      <rPr>
        <b/>
        <vertAlign val="superscript"/>
        <sz val="12"/>
        <color theme="1"/>
        <rFont val="Times New Roman"/>
        <family val="1"/>
      </rPr>
      <t>1</t>
    </r>
  </si>
  <si>
    <r>
      <rPr>
        <b/>
        <sz val="12"/>
        <color theme="1"/>
        <rFont val="標楷體"/>
        <charset val="136"/>
      </rPr>
      <t>耗能分區</t>
    </r>
  </si>
  <si>
    <r>
      <rPr>
        <b/>
        <sz val="12"/>
        <color theme="1"/>
        <rFont val="標楷體"/>
        <charset val="136"/>
      </rPr>
      <t>空調類型</t>
    </r>
    <r>
      <rPr>
        <b/>
        <vertAlign val="superscript"/>
        <sz val="12"/>
        <color theme="1"/>
        <rFont val="Times New Roman"/>
        <family val="1"/>
      </rPr>
      <t>6</t>
    </r>
  </si>
  <si>
    <r>
      <rPr>
        <b/>
        <sz val="12"/>
        <color theme="1"/>
        <rFont val="標楷體"/>
        <charset val="136"/>
      </rPr>
      <t>空調</t>
    </r>
    <r>
      <rPr>
        <b/>
        <sz val="12"/>
        <color theme="1"/>
        <rFont val="Times New Roman"/>
        <family val="1"/>
      </rPr>
      <t>EUI</t>
    </r>
    <r>
      <rPr>
        <b/>
        <vertAlign val="superscript"/>
        <sz val="12"/>
        <color theme="1"/>
        <rFont val="Times New Roman"/>
        <family val="1"/>
      </rPr>
      <t>3</t>
    </r>
  </si>
  <si>
    <r>
      <rPr>
        <b/>
        <sz val="12"/>
        <color theme="1"/>
        <rFont val="標楷體"/>
        <charset val="136"/>
      </rPr>
      <t>照明</t>
    </r>
    <r>
      <rPr>
        <b/>
        <sz val="12"/>
        <color theme="1"/>
        <rFont val="Times New Roman"/>
        <family val="1"/>
      </rPr>
      <t>EUI</t>
    </r>
    <r>
      <rPr>
        <b/>
        <vertAlign val="superscript"/>
        <sz val="12"/>
        <color theme="1"/>
        <rFont val="Times New Roman"/>
        <family val="1"/>
      </rPr>
      <t>3</t>
    </r>
  </si>
  <si>
    <r>
      <rPr>
        <b/>
        <sz val="12"/>
        <color theme="1"/>
        <rFont val="標楷體"/>
        <charset val="136"/>
      </rPr>
      <t>電器</t>
    </r>
    <r>
      <rPr>
        <b/>
        <vertAlign val="superscript"/>
        <sz val="12"/>
        <color theme="1"/>
        <rFont val="Times New Roman"/>
        <family val="1"/>
      </rPr>
      <t>3</t>
    </r>
  </si>
  <si>
    <r>
      <rPr>
        <b/>
        <sz val="12"/>
        <color theme="1"/>
        <rFont val="標楷體"/>
        <charset val="136"/>
      </rPr>
      <t>全年</t>
    </r>
  </si>
  <si>
    <r>
      <rPr>
        <b/>
        <sz val="12"/>
        <color theme="1"/>
        <rFont val="標楷體"/>
        <charset val="136"/>
      </rPr>
      <t>一般分區</t>
    </r>
  </si>
  <si>
    <r>
      <rPr>
        <b/>
        <sz val="12"/>
        <color theme="1"/>
        <rFont val="標楷體"/>
        <charset val="136"/>
      </rPr>
      <t>空間</t>
    </r>
  </si>
  <si>
    <r>
      <rPr>
        <b/>
        <sz val="12"/>
        <color theme="1"/>
        <rFont val="標楷體"/>
        <charset val="136"/>
      </rPr>
      <t>面積</t>
    </r>
    <r>
      <rPr>
        <b/>
        <vertAlign val="superscript"/>
        <sz val="12"/>
        <color theme="1"/>
        <rFont val="Times New Roman"/>
        <family val="1"/>
      </rPr>
      <t>2</t>
    </r>
    <r>
      <rPr>
        <b/>
        <sz val="12"/>
        <color theme="1"/>
        <rFont val="Times New Roman"/>
        <family val="1"/>
      </rPr>
      <t>(Afi, m</t>
    </r>
    <r>
      <rPr>
        <b/>
        <vertAlign val="superscript"/>
        <sz val="12"/>
        <color theme="1"/>
        <rFont val="Times New Roman"/>
        <family val="1"/>
      </rPr>
      <t>2</t>
    </r>
    <r>
      <rPr>
        <b/>
        <sz val="12"/>
        <color theme="1"/>
        <rFont val="Times New Roman"/>
        <family val="1"/>
      </rPr>
      <t>)</t>
    </r>
  </si>
  <si>
    <r>
      <rPr>
        <b/>
        <sz val="12"/>
        <color theme="1"/>
        <rFont val="標楷體"/>
        <charset val="136"/>
      </rPr>
      <t>空調時間</t>
    </r>
    <r>
      <rPr>
        <b/>
        <vertAlign val="superscript"/>
        <sz val="12"/>
        <color theme="1"/>
        <rFont val="Times New Roman"/>
        <family val="1"/>
      </rPr>
      <t>4</t>
    </r>
  </si>
  <si>
    <r>
      <rPr>
        <b/>
        <sz val="12"/>
        <color theme="1"/>
        <rFont val="標楷體"/>
        <charset val="136"/>
      </rPr>
      <t>營運天數</t>
    </r>
    <r>
      <rPr>
        <b/>
        <vertAlign val="superscript"/>
        <sz val="12"/>
        <color theme="1"/>
        <rFont val="Times New Roman"/>
        <family val="1"/>
      </rPr>
      <t>4</t>
    </r>
  </si>
  <si>
    <r>
      <rPr>
        <b/>
        <sz val="12"/>
        <color theme="1"/>
        <rFont val="標楷體"/>
        <charset val="136"/>
      </rPr>
      <t>年用水量</t>
    </r>
    <r>
      <rPr>
        <b/>
        <vertAlign val="superscript"/>
        <sz val="12"/>
        <color theme="1"/>
        <rFont val="Times New Roman"/>
        <family val="1"/>
      </rPr>
      <t>4</t>
    </r>
  </si>
  <si>
    <r>
      <rPr>
        <b/>
        <sz val="12"/>
        <color theme="1"/>
        <rFont val="標楷體"/>
        <charset val="136"/>
      </rPr>
      <t>營運率</t>
    </r>
    <r>
      <rPr>
        <b/>
        <vertAlign val="superscript"/>
        <sz val="12"/>
        <color theme="1"/>
        <rFont val="Times New Roman"/>
        <family val="1"/>
      </rPr>
      <t>5</t>
    </r>
  </si>
  <si>
    <r>
      <rPr>
        <b/>
        <sz val="12"/>
        <color theme="1"/>
        <rFont val="標楷體"/>
        <charset val="136"/>
      </rPr>
      <t>評估總面積和</t>
    </r>
    <r>
      <rPr>
        <b/>
        <sz val="12"/>
        <color theme="1"/>
        <rFont val="Times New Roman"/>
        <family val="1"/>
      </rPr>
      <t>(AFe=Σ</t>
    </r>
    <r>
      <rPr>
        <b/>
        <vertAlign val="subscript"/>
        <sz val="12"/>
        <color theme="1"/>
        <rFont val="Times New Roman"/>
        <family val="1"/>
      </rPr>
      <t>1~k</t>
    </r>
    <r>
      <rPr>
        <b/>
        <sz val="12"/>
        <color theme="1"/>
        <rFont val="Times New Roman"/>
        <family val="1"/>
      </rPr>
      <t>Afi)</t>
    </r>
    <phoneticPr fontId="7" type="noConversion"/>
  </si>
  <si>
    <r>
      <t>Afi</t>
    </r>
    <r>
      <rPr>
        <b/>
        <sz val="12"/>
        <color theme="1"/>
        <rFont val="標楷體"/>
        <charset val="136"/>
      </rPr>
      <t>面積</t>
    </r>
  </si>
  <si>
    <r>
      <t>(m</t>
    </r>
    <r>
      <rPr>
        <b/>
        <vertAlign val="superscript"/>
        <sz val="12"/>
        <color theme="1"/>
        <rFont val="Times New Roman"/>
        <family val="1"/>
      </rPr>
      <t>2</t>
    </r>
    <r>
      <rPr>
        <b/>
        <sz val="12"/>
        <color theme="1"/>
        <rFont val="Times New Roman"/>
        <family val="1"/>
      </rPr>
      <t>)</t>
    </r>
  </si>
  <si>
    <r>
      <rPr>
        <b/>
        <sz val="12"/>
        <color theme="1"/>
        <rFont val="標楷體"/>
        <charset val="136"/>
      </rPr>
      <t>說明</t>
    </r>
  </si>
  <si>
    <r>
      <t>(一)</t>
    </r>
    <r>
      <rPr>
        <b/>
        <sz val="7"/>
        <color theme="1"/>
        <rFont val="Times New Roman"/>
        <family val="1"/>
      </rPr>
      <t xml:space="preserve">  </t>
    </r>
    <r>
      <rPr>
        <b/>
        <vertAlign val="superscript"/>
        <sz val="12"/>
        <color theme="1"/>
        <rFont val="Times New Roman"/>
        <family val="1"/>
      </rPr>
      <t>1</t>
    </r>
    <r>
      <rPr>
        <b/>
        <sz val="12"/>
        <color theme="1"/>
        <rFont val="標楷體"/>
        <charset val="136"/>
      </rPr>
      <t>依手冊附錄一表</t>
    </r>
    <r>
      <rPr>
        <b/>
        <sz val="12"/>
        <color theme="1"/>
        <rFont val="Times New Roman"/>
        <family val="1"/>
      </rPr>
      <t>A</t>
    </r>
    <r>
      <rPr>
        <b/>
        <sz val="12"/>
        <color theme="1"/>
        <rFont val="標楷體"/>
        <charset val="136"/>
      </rPr>
      <t>劃分耗能分區類別。</t>
    </r>
  </si>
  <si>
    <r>
      <t>(二)</t>
    </r>
    <r>
      <rPr>
        <b/>
        <sz val="7"/>
        <color theme="1"/>
        <rFont val="Times New Roman"/>
        <family val="1"/>
      </rPr>
      <t xml:space="preserve">  </t>
    </r>
    <r>
      <rPr>
        <b/>
        <vertAlign val="superscript"/>
        <sz val="12"/>
        <color theme="1"/>
        <rFont val="Times New Roman"/>
        <family val="1"/>
      </rPr>
      <t>2</t>
    </r>
    <r>
      <rPr>
        <b/>
        <sz val="12"/>
        <color theme="1"/>
        <rFont val="標楷體"/>
        <charset val="136"/>
      </rPr>
      <t>各耗能分區面積依實際面積為主，並提供佐證文件。</t>
    </r>
  </si>
  <si>
    <r>
      <t>(三)</t>
    </r>
    <r>
      <rPr>
        <b/>
        <sz val="7"/>
        <color theme="1"/>
        <rFont val="Times New Roman"/>
        <family val="1"/>
      </rPr>
      <t xml:space="preserve">  </t>
    </r>
    <r>
      <rPr>
        <b/>
        <vertAlign val="superscript"/>
        <sz val="12"/>
        <color theme="1"/>
        <rFont val="Times New Roman"/>
        <family val="1"/>
      </rPr>
      <t>3</t>
    </r>
    <r>
      <rPr>
        <b/>
        <sz val="12"/>
        <color theme="1"/>
        <rFont val="標楷體"/>
        <charset val="136"/>
      </rPr>
      <t>依手冊附錄一表</t>
    </r>
    <r>
      <rPr>
        <b/>
        <sz val="12"/>
        <color theme="1"/>
        <rFont val="Times New Roman"/>
        <family val="1"/>
      </rPr>
      <t>A</t>
    </r>
    <r>
      <rPr>
        <b/>
        <sz val="12"/>
        <color theme="1"/>
        <rFont val="標楷體"/>
        <charset val="136"/>
      </rPr>
      <t>視本案情況填入對應數值。</t>
    </r>
  </si>
  <si>
    <r>
      <t>(四)</t>
    </r>
    <r>
      <rPr>
        <b/>
        <sz val="7"/>
        <color theme="1"/>
        <rFont val="Times New Roman"/>
        <family val="1"/>
      </rPr>
      <t xml:space="preserve">  </t>
    </r>
    <r>
      <rPr>
        <b/>
        <vertAlign val="superscript"/>
        <sz val="12"/>
        <color theme="1"/>
        <rFont val="Times New Roman"/>
        <family val="1"/>
      </rPr>
      <t>4</t>
    </r>
    <r>
      <rPr>
        <b/>
        <sz val="12"/>
        <color theme="1"/>
        <rFont val="標楷體"/>
        <charset val="136"/>
      </rPr>
      <t>依手冊附錄一表</t>
    </r>
    <r>
      <rPr>
        <b/>
        <sz val="12"/>
        <color theme="1"/>
        <rFont val="Times New Roman"/>
        <family val="1"/>
      </rPr>
      <t>B</t>
    </r>
    <r>
      <rPr>
        <b/>
        <sz val="12"/>
        <color theme="1"/>
        <rFont val="標楷體"/>
        <charset val="136"/>
      </rPr>
      <t>視本案情況填入對應數值。</t>
    </r>
  </si>
  <si>
    <r>
      <t>(五)</t>
    </r>
    <r>
      <rPr>
        <b/>
        <sz val="7"/>
        <color theme="1"/>
        <rFont val="Times New Roman"/>
        <family val="1"/>
      </rPr>
      <t xml:space="preserve">  </t>
    </r>
    <r>
      <rPr>
        <b/>
        <vertAlign val="superscript"/>
        <sz val="12"/>
        <color theme="1"/>
        <rFont val="Times New Roman"/>
        <family val="1"/>
      </rPr>
      <t>5</t>
    </r>
    <r>
      <rPr>
        <b/>
        <sz val="12"/>
        <color theme="1"/>
        <rFont val="標楷體"/>
        <charset val="136"/>
      </rPr>
      <t>若耗能分區含括</t>
    </r>
    <r>
      <rPr>
        <b/>
        <sz val="12"/>
        <color theme="1"/>
        <rFont val="Times New Roman"/>
        <family val="1"/>
      </rPr>
      <t>D1</t>
    </r>
    <r>
      <rPr>
        <b/>
        <sz val="12"/>
        <color theme="1"/>
        <rFont val="標楷體"/>
        <charset val="136"/>
      </rPr>
      <t>、</t>
    </r>
    <r>
      <rPr>
        <b/>
        <sz val="12"/>
        <color theme="1"/>
        <rFont val="Times New Roman"/>
        <family val="1"/>
      </rPr>
      <t>F1</t>
    </r>
    <r>
      <rPr>
        <b/>
        <sz val="12"/>
        <color theme="1"/>
        <rFont val="標楷體"/>
        <charset val="136"/>
      </rPr>
      <t>、</t>
    </r>
    <r>
      <rPr>
        <b/>
        <sz val="12"/>
        <color theme="1"/>
        <rFont val="Times New Roman"/>
        <family val="1"/>
      </rPr>
      <t>F2</t>
    </r>
    <r>
      <rPr>
        <b/>
        <sz val="12"/>
        <color theme="1"/>
        <rFont val="標楷體"/>
        <charset val="136"/>
      </rPr>
      <t>、</t>
    </r>
    <r>
      <rPr>
        <b/>
        <sz val="12"/>
        <color theme="1"/>
        <rFont val="Times New Roman"/>
        <family val="1"/>
      </rPr>
      <t>G1</t>
    </r>
    <r>
      <rPr>
        <b/>
        <sz val="12"/>
        <color theme="1"/>
        <rFont val="標楷體"/>
        <charset val="136"/>
      </rPr>
      <t>、</t>
    </r>
    <r>
      <rPr>
        <b/>
        <sz val="12"/>
        <color theme="1"/>
        <rFont val="Times New Roman"/>
        <family val="1"/>
      </rPr>
      <t>G2</t>
    </r>
    <r>
      <rPr>
        <b/>
        <sz val="12"/>
        <color theme="1"/>
        <rFont val="標楷體"/>
        <charset val="136"/>
      </rPr>
      <t>、</t>
    </r>
    <r>
      <rPr>
        <b/>
        <sz val="12"/>
        <color theme="1"/>
        <rFont val="Times New Roman"/>
        <family val="1"/>
      </rPr>
      <t>H1</t>
    </r>
    <r>
      <rPr>
        <b/>
        <sz val="12"/>
        <color theme="1"/>
        <rFont val="標楷體"/>
        <charset val="136"/>
      </rPr>
      <t>、</t>
    </r>
    <r>
      <rPr>
        <b/>
        <sz val="12"/>
        <color theme="1"/>
        <rFont val="Times New Roman"/>
        <family val="1"/>
      </rPr>
      <t>K1</t>
    </r>
    <r>
      <rPr>
        <b/>
        <sz val="12"/>
        <color theme="1"/>
        <rFont val="標楷體"/>
        <charset val="136"/>
      </rPr>
      <t>中其一，則空間營運率</t>
    </r>
    <r>
      <rPr>
        <b/>
        <sz val="12"/>
        <color theme="1"/>
        <rFont val="Times New Roman"/>
        <family val="1"/>
      </rPr>
      <t>SOri</t>
    </r>
    <r>
      <rPr>
        <b/>
        <sz val="12"/>
        <color theme="1"/>
        <rFont val="標楷體"/>
        <charset val="136"/>
      </rPr>
      <t>需填空間營運率修正表，無則</t>
    </r>
    <r>
      <rPr>
        <b/>
        <sz val="12"/>
        <color theme="1"/>
        <rFont val="Times New Roman"/>
        <family val="1"/>
      </rPr>
      <t>SOri</t>
    </r>
    <r>
      <rPr>
        <b/>
        <sz val="12"/>
        <color theme="1"/>
        <rFont val="標楷體"/>
        <charset val="136"/>
      </rPr>
      <t>設為</t>
    </r>
    <r>
      <rPr>
        <b/>
        <sz val="12"/>
        <color theme="1"/>
        <rFont val="Times New Roman"/>
        <family val="1"/>
      </rPr>
      <t>1</t>
    </r>
    <r>
      <rPr>
        <b/>
        <sz val="12"/>
        <color theme="1"/>
        <rFont val="標楷體"/>
        <charset val="136"/>
      </rPr>
      <t>即可。</t>
    </r>
  </si>
  <si>
    <r>
      <t>(六)</t>
    </r>
    <r>
      <rPr>
        <b/>
        <sz val="7"/>
        <color theme="1"/>
        <rFont val="Times New Roman"/>
        <family val="1"/>
      </rPr>
      <t xml:space="preserve">  </t>
    </r>
    <r>
      <rPr>
        <b/>
        <vertAlign val="superscript"/>
        <sz val="12"/>
        <color theme="1"/>
        <rFont val="Times New Roman"/>
        <family val="1"/>
      </rPr>
      <t>6</t>
    </r>
    <r>
      <rPr>
        <b/>
        <sz val="12"/>
        <color theme="1"/>
        <rFont val="標楷體"/>
        <charset val="136"/>
      </rPr>
      <t>依手冊附錄一表</t>
    </r>
    <r>
      <rPr>
        <b/>
        <sz val="12"/>
        <color theme="1"/>
        <rFont val="Times New Roman"/>
        <family val="1"/>
      </rPr>
      <t>A</t>
    </r>
    <r>
      <rPr>
        <b/>
        <sz val="12"/>
        <color theme="1"/>
        <rFont val="標楷體"/>
        <charset val="136"/>
      </rPr>
      <t>填寫全年、間歇。</t>
    </r>
  </si>
  <si>
    <r>
      <t>*D-2</t>
    </r>
    <r>
      <rPr>
        <b/>
        <sz val="12"/>
        <color theme="1"/>
        <rFont val="標楷體"/>
        <charset val="136"/>
      </rPr>
      <t>文教設施、</t>
    </r>
    <r>
      <rPr>
        <b/>
        <sz val="12"/>
        <color theme="1"/>
        <rFont val="Times New Roman"/>
        <family val="1"/>
      </rPr>
      <t>G-2</t>
    </r>
    <r>
      <rPr>
        <b/>
        <sz val="12"/>
        <color theme="1"/>
        <rFont val="標楷體"/>
        <charset val="136"/>
      </rPr>
      <t>辦公場優先視為間歇空調來評估其餘均以全年空調處理。</t>
    </r>
  </si>
  <si>
    <r>
      <rPr>
        <sz val="14"/>
        <color theme="1"/>
        <rFont val="標楷體"/>
        <charset val="136"/>
      </rPr>
      <t>免評估分區</t>
    </r>
  </si>
  <si>
    <r>
      <t>Afk</t>
    </r>
    <r>
      <rPr>
        <sz val="14"/>
        <color theme="1"/>
        <rFont val="標楷體"/>
        <charset val="136"/>
      </rPr>
      <t>面積</t>
    </r>
  </si>
  <si>
    <r>
      <rPr>
        <sz val="14"/>
        <color theme="1"/>
        <rFont val="標楷體"/>
        <charset val="136"/>
      </rPr>
      <t>免評估分區年耗電量</t>
    </r>
    <r>
      <rPr>
        <sz val="14"/>
        <color theme="1"/>
        <rFont val="Times New Roman"/>
        <family val="1"/>
      </rPr>
      <t>Enk</t>
    </r>
  </si>
  <si>
    <r>
      <t>(m</t>
    </r>
    <r>
      <rPr>
        <vertAlign val="superscript"/>
        <sz val="14"/>
        <color theme="1"/>
        <rFont val="Times New Roman"/>
        <family val="1"/>
      </rPr>
      <t>2</t>
    </r>
    <r>
      <rPr>
        <sz val="14"/>
        <color theme="1"/>
        <rFont val="Times New Roman"/>
        <family val="1"/>
      </rPr>
      <t>)</t>
    </r>
  </si>
  <si>
    <r>
      <rPr>
        <sz val="14"/>
        <color theme="1"/>
        <rFont val="標楷體"/>
        <charset val="136"/>
      </rPr>
      <t>免評估分區面積</t>
    </r>
    <r>
      <rPr>
        <sz val="14"/>
        <color theme="1"/>
        <rFont val="Times New Roman"/>
        <family val="1"/>
      </rPr>
      <t>AFn</t>
    </r>
  </si>
  <si>
    <r>
      <t>Σ</t>
    </r>
    <r>
      <rPr>
        <vertAlign val="subscript"/>
        <sz val="14"/>
        <color theme="1"/>
        <rFont val="Times New Roman"/>
        <family val="1"/>
      </rPr>
      <t>k</t>
    </r>
    <r>
      <rPr>
        <sz val="14"/>
        <color theme="1"/>
        <rFont val="Times New Roman"/>
        <family val="1"/>
      </rPr>
      <t xml:space="preserve"> Afk</t>
    </r>
  </si>
  <si>
    <r>
      <t>m</t>
    </r>
    <r>
      <rPr>
        <vertAlign val="superscript"/>
        <sz val="14"/>
        <color theme="1"/>
        <rFont val="Times New Roman"/>
        <family val="1"/>
      </rPr>
      <t>2</t>
    </r>
  </si>
  <si>
    <r>
      <rPr>
        <sz val="14"/>
        <color theme="1"/>
        <rFont val="標楷體"/>
        <charset val="136"/>
      </rPr>
      <t>免評估年耗電量</t>
    </r>
    <r>
      <rPr>
        <sz val="14"/>
        <color theme="1"/>
        <rFont val="Times New Roman"/>
        <family val="1"/>
      </rPr>
      <t>EN</t>
    </r>
  </si>
  <si>
    <r>
      <t>Σ</t>
    </r>
    <r>
      <rPr>
        <vertAlign val="subscript"/>
        <sz val="14"/>
        <color theme="1"/>
        <rFont val="Times New Roman"/>
        <family val="1"/>
      </rPr>
      <t>k</t>
    </r>
    <r>
      <rPr>
        <sz val="14"/>
        <color theme="1"/>
        <rFont val="Times New Roman"/>
        <family val="1"/>
      </rPr>
      <t xml:space="preserve"> Enk×UR</t>
    </r>
  </si>
  <si>
    <r>
      <t xml:space="preserve">碳排密度指標 </t>
    </r>
    <r>
      <rPr>
        <sz val="12"/>
        <color theme="1"/>
        <rFont val="Times New Roman"/>
        <family val="1"/>
      </rPr>
      <t>CEI*=EUI*×β1(</t>
    </r>
    <r>
      <rPr>
        <sz val="12"/>
        <color theme="1"/>
        <rFont val="SimSun"/>
        <charset val="134"/>
      </rPr>
      <t>電力排碳係數</t>
    </r>
    <r>
      <rPr>
        <sz val="12"/>
        <color theme="1"/>
        <rFont val="Times New Roman"/>
        <family val="1"/>
      </rPr>
      <t>=0.495 kgCO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/kWh)</t>
    </r>
    <phoneticPr fontId="7" type="noConversion"/>
  </si>
  <si>
    <t>EUIg - (40/50) × (EUIg - EUImin)</t>
    <phoneticPr fontId="7" type="noConversion"/>
  </si>
  <si>
    <t>EUIg - (20/50) × (EUIg - EUImin)</t>
    <phoneticPr fontId="7" type="noConversion"/>
  </si>
  <si>
    <t>EUIg - (10/50) × (EUIg - EUImin)</t>
    <phoneticPr fontId="7" type="noConversion"/>
  </si>
  <si>
    <t>EUIg - (30/50) × (EUIg - EUImin)</t>
    <phoneticPr fontId="7" type="noConversion"/>
  </si>
  <si>
    <t>EUIg + (10/50) × (EUImax - EUIg)</t>
    <phoneticPr fontId="7" type="noConversion"/>
  </si>
  <si>
    <t>EUIg + (30/50) × (EUImax–EUIg)</t>
    <phoneticPr fontId="7" type="noConversion"/>
  </si>
  <si>
    <r>
      <t xml:space="preserve">免評估分區分類 </t>
    </r>
    <r>
      <rPr>
        <sz val="11"/>
        <color theme="1"/>
        <rFont val="TimesNewRomanPSMT"/>
      </rPr>
      <t>(</t>
    </r>
    <r>
      <rPr>
        <sz val="11"/>
        <color theme="1"/>
        <rFont val="PMingLiU"/>
        <family val="1"/>
        <charset val="136"/>
      </rPr>
      <t xml:space="preserve">面積標示為 </t>
    </r>
    <r>
      <rPr>
        <sz val="11"/>
        <color theme="1"/>
        <rFont val="TimesNewRomanPSMT"/>
      </rPr>
      <t xml:space="preserve">Afk) </t>
    </r>
  </si>
  <si>
    <t>N11</t>
    <phoneticPr fontId="7" type="noConversion"/>
  </si>
  <si>
    <t>高級餐廳專用廚房</t>
    <phoneticPr fontId="7" type="noConversion"/>
  </si>
  <si>
    <t>專用廚房</t>
    <phoneticPr fontId="7" type="noConversion"/>
  </si>
  <si>
    <t>平價餐廳或小吃街專用廚房</t>
    <phoneticPr fontId="7" type="noConversion"/>
  </si>
  <si>
    <t>N12</t>
    <phoneticPr fontId="7" type="noConversion"/>
  </si>
  <si>
    <t>N11高級</t>
    <phoneticPr fontId="7" type="noConversion"/>
  </si>
  <si>
    <t>N11平價</t>
    <phoneticPr fontId="7" type="noConversion"/>
  </si>
  <si>
    <t>N12高級</t>
    <phoneticPr fontId="7" type="noConversion"/>
  </si>
  <si>
    <t>N12平價</t>
    <phoneticPr fontId="7" type="noConversion"/>
  </si>
  <si>
    <t>N13高級</t>
    <phoneticPr fontId="7" type="noConversion"/>
  </si>
  <si>
    <t>N13平價</t>
    <phoneticPr fontId="7" type="noConversion"/>
  </si>
  <si>
    <t>N14高級</t>
    <phoneticPr fontId="7" type="noConversion"/>
  </si>
  <si>
    <t>N14平價</t>
    <phoneticPr fontId="7" type="noConversion"/>
  </si>
  <si>
    <t>供一餐時段餐廳專用廚房</t>
    <phoneticPr fontId="7" type="noConversion"/>
  </si>
  <si>
    <t>供兩餐時段餐廳專用廚房</t>
    <phoneticPr fontId="7" type="noConversion"/>
  </si>
  <si>
    <t>供三餐時段餐廳專用廚房</t>
    <phoneticPr fontId="7" type="noConversion"/>
  </si>
  <si>
    <t>專用婚宴宴會場</t>
    <phoneticPr fontId="7" type="noConversion"/>
  </si>
  <si>
    <t>主分類</t>
    <phoneticPr fontId="7" type="noConversion"/>
  </si>
  <si>
    <t>主分類代碼</t>
    <phoneticPr fontId="7" type="noConversion"/>
  </si>
  <si>
    <t>次分類</t>
    <phoneticPr fontId="7" type="noConversion"/>
  </si>
  <si>
    <t>細分類說明</t>
    <phoneticPr fontId="7" type="noConversion"/>
  </si>
  <si>
    <t>細分類代碼</t>
    <phoneticPr fontId="7" type="noConversion"/>
  </si>
  <si>
    <t xml:space="preserve">年耗電量 Enk(kWh/yr)/m2 計算公式 </t>
    <phoneticPr fontId="7" type="noConversion"/>
  </si>
  <si>
    <t>N15</t>
    <phoneticPr fontId="7" type="noConversion"/>
  </si>
  <si>
    <t>輕食咖啡餐廳專用廚房區(含吧檯)</t>
    <phoneticPr fontId="7" type="noConversion"/>
  </si>
  <si>
    <t>24hr 餐廳專用廚房區(速食連鎖餐廳)</t>
    <phoneticPr fontId="7" type="noConversion"/>
  </si>
  <si>
    <t>量販店、超商熱食區專用廚房</t>
    <phoneticPr fontId="7" type="noConversion"/>
  </si>
  <si>
    <t>N16</t>
    <phoneticPr fontId="7" type="noConversion"/>
  </si>
  <si>
    <t>N17</t>
    <phoneticPr fontId="7" type="noConversion"/>
  </si>
  <si>
    <t>專用洗衣空間</t>
    <phoneticPr fontId="7" type="noConversion"/>
  </si>
  <si>
    <t>旅館專用 洗衣空間(洗衣外包之旅館免計算)</t>
    <phoneticPr fontId="7" type="noConversion"/>
  </si>
  <si>
    <t>N21</t>
    <phoneticPr fontId="7" type="noConversion"/>
  </si>
  <si>
    <t>N22</t>
    <phoneticPr fontId="7" type="noConversion"/>
  </si>
  <si>
    <t>觀光或四星級以上旅館客房洗衣</t>
    <phoneticPr fontId="7" type="noConversion"/>
  </si>
  <si>
    <t>其他旅館客房洗衣</t>
    <phoneticPr fontId="7" type="noConversion"/>
  </si>
  <si>
    <t>旅館高級餐廳洗衣</t>
    <phoneticPr fontId="7" type="noConversion"/>
  </si>
  <si>
    <t>醫院專用洗衣空間(洗衣外包之醫院免計算)</t>
    <phoneticPr fontId="7" type="noConversion"/>
  </si>
  <si>
    <t>住宿類建築室內停車場分區</t>
    <phoneticPr fontId="7" type="noConversion"/>
  </si>
  <si>
    <t>N33</t>
    <phoneticPr fontId="7" type="noConversion"/>
  </si>
  <si>
    <t>商場、百貨、量販店類室內停車場分區</t>
    <phoneticPr fontId="7" type="noConversion"/>
  </si>
  <si>
    <t>辦公、文教類室內停車場分區</t>
    <phoneticPr fontId="7" type="noConversion"/>
  </si>
  <si>
    <t>地下一樓以上樓層停車區</t>
    <phoneticPr fontId="7" type="noConversion"/>
  </si>
  <si>
    <t>地下二樓以下樓層停車區</t>
    <phoneticPr fontId="7" type="noConversion"/>
  </si>
  <si>
    <t>不分樓層停車區</t>
    <phoneticPr fontId="7" type="noConversion"/>
  </si>
  <si>
    <t>N31地下一</t>
    <phoneticPr fontId="7" type="noConversion"/>
  </si>
  <si>
    <t>N31地下二</t>
    <phoneticPr fontId="7" type="noConversion"/>
  </si>
  <si>
    <t>N32地下一</t>
    <phoneticPr fontId="7" type="noConversion"/>
  </si>
  <si>
    <t>N32地下二</t>
    <phoneticPr fontId="7" type="noConversion"/>
  </si>
  <si>
    <t>N41</t>
    <phoneticPr fontId="7" type="noConversion"/>
  </si>
  <si>
    <t>N42</t>
    <phoneticPr fontId="7" type="noConversion"/>
  </si>
  <si>
    <t>N43</t>
    <phoneticPr fontId="7" type="noConversion"/>
  </si>
  <si>
    <t>N5</t>
    <phoneticPr fontId="7" type="noConversion"/>
  </si>
  <si>
    <t>N6</t>
    <phoneticPr fontId="7" type="noConversion"/>
  </si>
  <si>
    <t>N7</t>
    <phoneticPr fontId="7" type="noConversion"/>
  </si>
  <si>
    <t>N8</t>
    <phoneticPr fontId="7" type="noConversion"/>
  </si>
  <si>
    <t>N9</t>
    <phoneticPr fontId="7" type="noConversion"/>
  </si>
  <si>
    <t>N10</t>
    <phoneticPr fontId="7" type="noConversion"/>
  </si>
  <si>
    <t>不在6類12組BERS建築使用分類之分區</t>
    <phoneticPr fontId="7" type="noConversion"/>
  </si>
  <si>
    <t>其他申請者認為不應評估分區</t>
    <phoneticPr fontId="7" type="noConversion"/>
  </si>
  <si>
    <t>閒置未使用空間</t>
    <phoneticPr fontId="7" type="noConversion"/>
  </si>
  <si>
    <t>屋突面積</t>
    <phoneticPr fontId="7" type="noConversion"/>
  </si>
  <si>
    <t>電腦、電信機房(內含高密度機櫃之空調 空間)</t>
    <phoneticPr fontId="7" type="noConversion"/>
  </si>
  <si>
    <t>休閒設施烤箱或蒸氣室</t>
    <phoneticPr fontId="7" type="noConversion"/>
  </si>
  <si>
    <t>人員進出型專用冷凍室</t>
    <phoneticPr fontId="7" type="noConversion"/>
  </si>
  <si>
    <t>人員進出型專用冷藏室</t>
    <phoneticPr fontId="7" type="noConversion"/>
  </si>
  <si>
    <t>單一或鄰接50m2以上有空調之貨品倉儲、書庫、檔案室</t>
    <phoneticPr fontId="7" type="noConversion"/>
  </si>
  <si>
    <t>單一或鄰接50m2以上無空調之雜物間、機械間、電氣設備間、器材室、維修平台</t>
    <phoneticPr fontId="7" type="noConversion"/>
  </si>
  <si>
    <t>單一或鄰接50m2以上無空調之貨品倉儲、書庫、檔案室</t>
    <phoneticPr fontId="7" type="noConversion"/>
  </si>
  <si>
    <t>專用儲藏</t>
    <phoneticPr fontId="7" type="noConversion"/>
  </si>
  <si>
    <t>地區</t>
    <phoneticPr fontId="7" type="noConversion"/>
  </si>
  <si>
    <t>縣市</t>
    <phoneticPr fontId="7" type="noConversion"/>
  </si>
  <si>
    <t>大安區</t>
    <phoneticPr fontId="7" type="noConversion"/>
  </si>
  <si>
    <t>大同區</t>
    <phoneticPr fontId="7" type="noConversion"/>
  </si>
  <si>
    <t>松山區</t>
    <phoneticPr fontId="7" type="noConversion"/>
  </si>
  <si>
    <t>萬華區</t>
    <phoneticPr fontId="7" type="noConversion"/>
  </si>
  <si>
    <t>中正區</t>
    <phoneticPr fontId="7" type="noConversion"/>
  </si>
  <si>
    <t>信義區</t>
    <phoneticPr fontId="7" type="noConversion"/>
  </si>
  <si>
    <t>內湖區</t>
    <phoneticPr fontId="7" type="noConversion"/>
  </si>
  <si>
    <t>文山區</t>
    <phoneticPr fontId="7" type="noConversion"/>
  </si>
  <si>
    <t>A</t>
    <phoneticPr fontId="7" type="noConversion"/>
  </si>
  <si>
    <t>係數分區</t>
    <phoneticPr fontId="7" type="noConversion"/>
  </si>
  <si>
    <t>UR值</t>
    <phoneticPr fontId="7" type="noConversion"/>
  </si>
  <si>
    <t>新北市</t>
    <phoneticPr fontId="7" type="noConversion"/>
  </si>
  <si>
    <t>永和區</t>
    <phoneticPr fontId="7" type="noConversion"/>
  </si>
  <si>
    <t>蘆洲區</t>
    <phoneticPr fontId="7" type="noConversion"/>
  </si>
  <si>
    <t>板橋區</t>
    <phoneticPr fontId="7" type="noConversion"/>
  </si>
  <si>
    <t>三重區</t>
    <phoneticPr fontId="7" type="noConversion"/>
  </si>
  <si>
    <t>中山區</t>
    <phoneticPr fontId="7" type="noConversion"/>
  </si>
  <si>
    <t>新莊區</t>
    <phoneticPr fontId="7" type="noConversion"/>
  </si>
  <si>
    <t>高雄市</t>
    <phoneticPr fontId="7" type="noConversion"/>
  </si>
  <si>
    <t>中和區</t>
    <phoneticPr fontId="7" type="noConversion"/>
  </si>
  <si>
    <t>土城區</t>
    <phoneticPr fontId="7" type="noConversion"/>
  </si>
  <si>
    <t>臺中市</t>
    <phoneticPr fontId="7" type="noConversion"/>
  </si>
  <si>
    <t>臺南市</t>
    <phoneticPr fontId="7" type="noConversion"/>
  </si>
  <si>
    <t>中區</t>
    <phoneticPr fontId="7" type="noConversion"/>
  </si>
  <si>
    <t>北區</t>
    <phoneticPr fontId="7" type="noConversion"/>
  </si>
  <si>
    <t>西區</t>
    <phoneticPr fontId="7" type="noConversion"/>
  </si>
  <si>
    <t>南區</t>
    <phoneticPr fontId="7" type="noConversion"/>
  </si>
  <si>
    <t>東區</t>
    <phoneticPr fontId="7" type="noConversion"/>
  </si>
  <si>
    <t>中西區</t>
    <phoneticPr fontId="7" type="noConversion"/>
  </si>
  <si>
    <t>苓雅區</t>
    <phoneticPr fontId="7" type="noConversion"/>
  </si>
  <si>
    <t>旗津區</t>
    <phoneticPr fontId="7" type="noConversion"/>
  </si>
  <si>
    <t>三民區</t>
    <phoneticPr fontId="7" type="noConversion"/>
  </si>
  <si>
    <t>鹽埕區</t>
    <phoneticPr fontId="7" type="noConversion"/>
  </si>
  <si>
    <t>前金區</t>
    <phoneticPr fontId="7" type="noConversion"/>
  </si>
  <si>
    <t>左營區</t>
    <phoneticPr fontId="7" type="noConversion"/>
  </si>
  <si>
    <t>前鎮區</t>
    <phoneticPr fontId="7" type="noConversion"/>
  </si>
  <si>
    <t>鼓山區</t>
    <phoneticPr fontId="7" type="noConversion"/>
  </si>
  <si>
    <t>新興區</t>
    <phoneticPr fontId="7" type="noConversion"/>
  </si>
  <si>
    <t>鳳山區</t>
    <phoneticPr fontId="7" type="noConversion"/>
  </si>
  <si>
    <t>桃園區</t>
    <phoneticPr fontId="7" type="noConversion"/>
  </si>
  <si>
    <t>基隆市</t>
    <phoneticPr fontId="7" type="noConversion"/>
  </si>
  <si>
    <t>仁愛區</t>
    <phoneticPr fontId="7" type="noConversion"/>
  </si>
  <si>
    <t>桃園市</t>
    <phoneticPr fontId="7" type="noConversion"/>
  </si>
  <si>
    <t>新竹市</t>
    <phoneticPr fontId="7" type="noConversion"/>
  </si>
  <si>
    <t>鶯歌區</t>
    <phoneticPr fontId="7" type="noConversion"/>
  </si>
  <si>
    <t>南屯區</t>
    <phoneticPr fontId="7" type="noConversion"/>
  </si>
  <si>
    <t>北屯區</t>
    <phoneticPr fontId="7" type="noConversion"/>
  </si>
  <si>
    <t>楠梓區</t>
    <phoneticPr fontId="7" type="noConversion"/>
  </si>
  <si>
    <t>梓官區</t>
    <phoneticPr fontId="7" type="noConversion"/>
  </si>
  <si>
    <t>新竹縣</t>
    <phoneticPr fontId="7" type="noConversion"/>
  </si>
  <si>
    <t>竹北市</t>
    <phoneticPr fontId="7" type="noConversion"/>
  </si>
  <si>
    <t>彰化縣</t>
    <phoneticPr fontId="7" type="noConversion"/>
  </si>
  <si>
    <t>宜蘭縣</t>
    <phoneticPr fontId="7" type="noConversion"/>
  </si>
  <si>
    <t>嘉義市</t>
    <phoneticPr fontId="7" type="noConversion"/>
  </si>
  <si>
    <t>屏東縣</t>
    <phoneticPr fontId="7" type="noConversion"/>
  </si>
  <si>
    <t>屏東市</t>
    <phoneticPr fontId="7" type="noConversion"/>
  </si>
  <si>
    <t>花蓮縣</t>
    <phoneticPr fontId="7" type="noConversion"/>
  </si>
  <si>
    <t xml:space="preserve">西屯區 </t>
    <phoneticPr fontId="7" type="noConversion"/>
  </si>
  <si>
    <t>潭孒區</t>
    <phoneticPr fontId="7" type="noConversion"/>
  </si>
  <si>
    <t>豐原區</t>
    <phoneticPr fontId="7" type="noConversion"/>
  </si>
  <si>
    <t>梧棲區</t>
    <phoneticPr fontId="7" type="noConversion"/>
  </si>
  <si>
    <t>大雅區</t>
    <phoneticPr fontId="7" type="noConversion"/>
  </si>
  <si>
    <t>安平區</t>
    <phoneticPr fontId="7" type="noConversion"/>
  </si>
  <si>
    <t>永康區</t>
    <phoneticPr fontId="7" type="noConversion"/>
  </si>
  <si>
    <t>小港區</t>
    <phoneticPr fontId="7" type="noConversion"/>
  </si>
  <si>
    <t>彰化市</t>
    <phoneticPr fontId="7" type="noConversion"/>
  </si>
  <si>
    <t>員林市</t>
    <phoneticPr fontId="7" type="noConversion"/>
  </si>
  <si>
    <t>羅東鎮</t>
    <phoneticPr fontId="7" type="noConversion"/>
  </si>
  <si>
    <t>宜蘭市</t>
    <phoneticPr fontId="7" type="noConversion"/>
  </si>
  <si>
    <t>花蓮市</t>
    <phoneticPr fontId="7" type="noConversion"/>
  </si>
  <si>
    <t>B</t>
    <phoneticPr fontId="7" type="noConversion"/>
  </si>
  <si>
    <t>C</t>
    <phoneticPr fontId="7" type="noConversion"/>
  </si>
  <si>
    <t>苗栗縣</t>
    <phoneticPr fontId="7" type="noConversion"/>
  </si>
  <si>
    <t>蘆竹區</t>
    <phoneticPr fontId="7" type="noConversion"/>
  </si>
  <si>
    <t>楊梅區</t>
    <phoneticPr fontId="7" type="noConversion"/>
  </si>
  <si>
    <t>湖囗鄉</t>
    <phoneticPr fontId="7" type="noConversion"/>
  </si>
  <si>
    <t>竹東鎮</t>
    <phoneticPr fontId="7" type="noConversion"/>
  </si>
  <si>
    <t>沙鹿區</t>
    <phoneticPr fontId="7" type="noConversion"/>
  </si>
  <si>
    <t xml:space="preserve">神岡區 </t>
    <phoneticPr fontId="7" type="noConversion"/>
  </si>
  <si>
    <t>鹿港鎮</t>
    <phoneticPr fontId="7" type="noConversion"/>
  </si>
  <si>
    <t>永靖鄉</t>
    <phoneticPr fontId="7" type="noConversion"/>
  </si>
  <si>
    <t>溪湖鎮</t>
    <phoneticPr fontId="7" type="noConversion"/>
  </si>
  <si>
    <t>伸港鄉</t>
    <phoneticPr fontId="7" type="noConversion"/>
  </si>
  <si>
    <t>佳里區</t>
    <phoneticPr fontId="7" type="noConversion"/>
  </si>
  <si>
    <t>鳥松區</t>
    <phoneticPr fontId="7" type="noConversion"/>
  </si>
  <si>
    <t>琉球鄉</t>
    <phoneticPr fontId="7" type="noConversion"/>
  </si>
  <si>
    <t>D</t>
    <phoneticPr fontId="7" type="noConversion"/>
  </si>
  <si>
    <t>其他</t>
    <phoneticPr fontId="7" type="noConversion"/>
  </si>
  <si>
    <t>泰山區</t>
    <phoneticPr fontId="7" type="noConversion"/>
  </si>
  <si>
    <t>汐止區</t>
    <phoneticPr fontId="7" type="noConversion"/>
  </si>
  <si>
    <t>新店區</t>
    <phoneticPr fontId="7" type="noConversion"/>
  </si>
  <si>
    <t>安樂區</t>
    <phoneticPr fontId="7" type="noConversion"/>
  </si>
  <si>
    <t>八德區</t>
    <phoneticPr fontId="7" type="noConversion"/>
  </si>
  <si>
    <t>中壢區</t>
    <phoneticPr fontId="7" type="noConversion"/>
  </si>
  <si>
    <t>平鎮區</t>
    <phoneticPr fontId="7" type="noConversion"/>
  </si>
  <si>
    <t>大里區</t>
    <phoneticPr fontId="7" type="noConversion"/>
  </si>
  <si>
    <t>五股區</t>
    <phoneticPr fontId="7" type="noConversion"/>
  </si>
  <si>
    <t>淡水區</t>
    <phoneticPr fontId="7" type="noConversion"/>
  </si>
  <si>
    <t>林囗區</t>
    <phoneticPr fontId="7" type="noConversion"/>
  </si>
  <si>
    <t>深坑區</t>
    <phoneticPr fontId="7" type="noConversion"/>
  </si>
  <si>
    <t>龜山區</t>
    <phoneticPr fontId="7" type="noConversion"/>
  </si>
  <si>
    <t>龍潭區</t>
    <phoneticPr fontId="7" type="noConversion"/>
  </si>
  <si>
    <t>大園區</t>
    <phoneticPr fontId="7" type="noConversion"/>
  </si>
  <si>
    <t>新豐鄉</t>
    <phoneticPr fontId="7" type="noConversion"/>
  </si>
  <si>
    <t>苗栗市</t>
    <phoneticPr fontId="7" type="noConversion"/>
  </si>
  <si>
    <t>竹南鎮</t>
    <phoneticPr fontId="7" type="noConversion"/>
  </si>
  <si>
    <t>頭份市</t>
    <phoneticPr fontId="7" type="noConversion"/>
  </si>
  <si>
    <t xml:space="preserve">龍井區 </t>
    <phoneticPr fontId="7" type="noConversion"/>
  </si>
  <si>
    <t>烏日區</t>
    <phoneticPr fontId="7" type="noConversion"/>
  </si>
  <si>
    <t>太平區</t>
    <phoneticPr fontId="7" type="noConversion"/>
  </si>
  <si>
    <t>大肚區</t>
    <phoneticPr fontId="7" type="noConversion"/>
  </si>
  <si>
    <t>清水區</t>
    <phoneticPr fontId="7" type="noConversion"/>
  </si>
  <si>
    <t>大甲區</t>
    <phoneticPr fontId="7" type="noConversion"/>
  </si>
  <si>
    <t>和美鎮</t>
    <phoneticPr fontId="7" type="noConversion"/>
  </si>
  <si>
    <t>北斗鎮</t>
    <phoneticPr fontId="7" type="noConversion"/>
  </si>
  <si>
    <t>秀水鄉</t>
    <phoneticPr fontId="7" type="noConversion"/>
  </si>
  <si>
    <t>花壇鄉</t>
    <phoneticPr fontId="7" type="noConversion"/>
  </si>
  <si>
    <t>田中鎮</t>
    <phoneticPr fontId="7" type="noConversion"/>
  </si>
  <si>
    <t>大村鄉</t>
    <phoneticPr fontId="7" type="noConversion"/>
  </si>
  <si>
    <t>社頭鄉</t>
    <phoneticPr fontId="7" type="noConversion"/>
  </si>
  <si>
    <t>田尾鄉</t>
    <phoneticPr fontId="7" type="noConversion"/>
  </si>
  <si>
    <t>埔心鄉</t>
    <phoneticPr fontId="7" type="noConversion"/>
  </si>
  <si>
    <t>新營區</t>
    <phoneticPr fontId="7" type="noConversion"/>
  </si>
  <si>
    <t>安南區</t>
    <phoneticPr fontId="7" type="noConversion"/>
  </si>
  <si>
    <t>仁德區</t>
    <phoneticPr fontId="7" type="noConversion"/>
  </si>
  <si>
    <t>歸仁區</t>
    <phoneticPr fontId="7" type="noConversion"/>
  </si>
  <si>
    <t>仁武區</t>
    <phoneticPr fontId="7" type="noConversion"/>
  </si>
  <si>
    <t>林園區</t>
    <phoneticPr fontId="7" type="noConversion"/>
  </si>
  <si>
    <t>岡山區</t>
    <phoneticPr fontId="7" type="noConversion"/>
  </si>
  <si>
    <t>茄萣區</t>
    <phoneticPr fontId="7" type="noConversion"/>
  </si>
  <si>
    <t>大寮區</t>
    <phoneticPr fontId="7" type="noConversion"/>
  </si>
  <si>
    <t>湖內區</t>
    <phoneticPr fontId="7" type="noConversion"/>
  </si>
  <si>
    <t>橋頭區</t>
    <phoneticPr fontId="7" type="noConversion"/>
  </si>
  <si>
    <t>彌陀區</t>
    <phoneticPr fontId="7" type="noConversion"/>
  </si>
  <si>
    <t>大社區</t>
    <phoneticPr fontId="7" type="noConversion"/>
  </si>
  <si>
    <t>路竹區</t>
    <phoneticPr fontId="7" type="noConversion"/>
  </si>
  <si>
    <t>東港鎮</t>
    <phoneticPr fontId="7" type="noConversion"/>
  </si>
  <si>
    <t>潮州鎮</t>
    <phoneticPr fontId="7" type="noConversion"/>
  </si>
  <si>
    <t>林邊鄉</t>
    <phoneticPr fontId="7" type="noConversion"/>
  </si>
  <si>
    <t>暖暖區</t>
    <phoneticPr fontId="7" type="noConversion"/>
  </si>
  <si>
    <t>五結鄉</t>
    <phoneticPr fontId="7" type="noConversion"/>
  </si>
  <si>
    <t>香山區</t>
    <phoneticPr fontId="7" type="noConversion"/>
  </si>
  <si>
    <t>南投縣</t>
    <phoneticPr fontId="7" type="noConversion"/>
  </si>
  <si>
    <t>南投市</t>
    <phoneticPr fontId="7" type="noConversion"/>
  </si>
  <si>
    <t>雲林縣</t>
    <phoneticPr fontId="7" type="noConversion"/>
  </si>
  <si>
    <t>斗六市</t>
    <phoneticPr fontId="7" type="noConversion"/>
  </si>
  <si>
    <t>虎尾鎮</t>
    <phoneticPr fontId="7" type="noConversion"/>
  </si>
  <si>
    <t>吉安鄉</t>
    <phoneticPr fontId="7" type="noConversion"/>
  </si>
  <si>
    <t>金門縣</t>
    <phoneticPr fontId="7" type="noConversion"/>
  </si>
  <si>
    <t>金城鎮</t>
    <phoneticPr fontId="7" type="noConversion"/>
  </si>
  <si>
    <t>金寧鄉</t>
    <phoneticPr fontId="7" type="noConversion"/>
  </si>
  <si>
    <t>澎湖縣</t>
    <phoneticPr fontId="7" type="noConversion"/>
  </si>
  <si>
    <t>馬公市</t>
    <phoneticPr fontId="7" type="noConversion"/>
  </si>
  <si>
    <t>臺北市</t>
    <phoneticPr fontId="7" type="noConversion"/>
  </si>
  <si>
    <t>南港區</t>
    <phoneticPr fontId="7" type="noConversion"/>
  </si>
  <si>
    <t>士林區</t>
    <phoneticPr fontId="7" type="noConversion"/>
  </si>
  <si>
    <t>北投區</t>
    <phoneticPr fontId="7" type="noConversion"/>
  </si>
  <si>
    <t>樹林區</t>
    <phoneticPr fontId="7" type="noConversion"/>
  </si>
  <si>
    <t>供不特定人餐飲，且直接使用燃具之場所。</t>
  </si>
  <si>
    <t>供特定人短期住宿之場所。</t>
  </si>
  <si>
    <t>集會表演</t>
  </si>
  <si>
    <t>供集會、表演、社交，且具觀眾席及舞位於臺之場所。</t>
  </si>
  <si>
    <t>娛樂場所</t>
  </si>
  <si>
    <t>供娛樂消費，且處封閉或半封閉之場所。</t>
  </si>
  <si>
    <t>商場百貨</t>
  </si>
  <si>
    <t>供商品批發、展售或商業交易，且使用人替換頻率高之場所。</t>
  </si>
  <si>
    <t>餐飲場所</t>
  </si>
  <si>
    <t>旅館</t>
  </si>
  <si>
    <t>供不特定人士休息住宿之場所。</t>
  </si>
  <si>
    <t>健身休閒</t>
  </si>
  <si>
    <t>供低密度使用人口運動休閒之場所。</t>
  </si>
  <si>
    <t>文教設施</t>
  </si>
  <si>
    <t>供參觀、閱覽、會議，且無舞臺設備之場所。</t>
  </si>
  <si>
    <t>醫療照護</t>
  </si>
  <si>
    <t>供醫療照護之場所。</t>
  </si>
  <si>
    <t>金融證券</t>
  </si>
  <si>
    <t>供商談、接洽、處理一般事務，且使用人替換頻率高之場所。</t>
  </si>
  <si>
    <t>辦公場所</t>
  </si>
  <si>
    <t>供商談、接洽、處理一般事務之場所。</t>
  </si>
  <si>
    <t>宿舍安養</t>
  </si>
  <si>
    <t>住宅</t>
  </si>
  <si>
    <t>供特定人長期住宿之場所，但不含集合住宅、住宅。</t>
  </si>
  <si>
    <t>編號</t>
    <phoneticPr fontId="7" type="noConversion"/>
  </si>
  <si>
    <t>類型</t>
    <phoneticPr fontId="7" type="noConversion"/>
  </si>
  <si>
    <t>說明</t>
    <phoneticPr fontId="7" type="noConversion"/>
  </si>
  <si>
    <t>H-2</t>
    <phoneticPr fontId="7" type="noConversion"/>
  </si>
  <si>
    <t>H-1</t>
    <phoneticPr fontId="7" type="noConversion"/>
  </si>
  <si>
    <t>A-1</t>
    <phoneticPr fontId="7" type="noConversion"/>
  </si>
  <si>
    <t>B-1</t>
    <phoneticPr fontId="7" type="noConversion"/>
  </si>
  <si>
    <t>B-2</t>
    <phoneticPr fontId="7" type="noConversion"/>
  </si>
  <si>
    <t>B-3</t>
    <phoneticPr fontId="7" type="noConversion"/>
  </si>
  <si>
    <t>B-4</t>
    <phoneticPr fontId="7" type="noConversion"/>
  </si>
  <si>
    <t>D-1</t>
    <phoneticPr fontId="7" type="noConversion"/>
  </si>
  <si>
    <t>D-2</t>
    <phoneticPr fontId="7" type="noConversion"/>
  </si>
  <si>
    <t>F-1</t>
    <phoneticPr fontId="7" type="noConversion"/>
  </si>
  <si>
    <t>G-1</t>
    <phoneticPr fontId="7" type="noConversion"/>
  </si>
  <si>
    <t>G-2</t>
    <phoneticPr fontId="7" type="noConversion"/>
  </si>
  <si>
    <t>建築分類</t>
  </si>
  <si>
    <t>住宿類(住宅、集合住宅除外)</t>
    <phoneticPr fontId="7" type="noConversion"/>
  </si>
  <si>
    <t>集會表演</t>
    <phoneticPr fontId="7" type="noConversion"/>
  </si>
  <si>
    <t>娛樂場所</t>
    <phoneticPr fontId="7" type="noConversion"/>
  </si>
  <si>
    <t>商場百貨</t>
    <phoneticPr fontId="7" type="noConversion"/>
  </si>
  <si>
    <t>餐飲場所</t>
    <phoneticPr fontId="7" type="noConversion"/>
  </si>
  <si>
    <t>旅館</t>
    <phoneticPr fontId="7" type="noConversion"/>
  </si>
  <si>
    <t>健身休閒</t>
    <phoneticPr fontId="7" type="noConversion"/>
  </si>
  <si>
    <t>文教設施</t>
    <phoneticPr fontId="7" type="noConversion"/>
  </si>
  <si>
    <t>醫療照護</t>
    <phoneticPr fontId="7" type="noConversion"/>
  </si>
  <si>
    <t>金融證券</t>
    <phoneticPr fontId="7" type="noConversion"/>
  </si>
  <si>
    <t>辦公場所</t>
    <phoneticPr fontId="7" type="noConversion"/>
  </si>
  <si>
    <t>電梯營運率</t>
    <phoneticPr fontId="7" type="noConversion"/>
  </si>
  <si>
    <t>電梯營運率Or</t>
    <phoneticPr fontId="7" type="noConversion"/>
  </si>
  <si>
    <t>電扶梯營運Osr</t>
    <phoneticPr fontId="7" type="noConversion"/>
  </si>
  <si>
    <t>電梯額定人數 (人/台)</t>
  </si>
  <si>
    <t>額定速度 (m/min)</t>
  </si>
  <si>
    <t>透天住宅基準</t>
  </si>
  <si>
    <t>住宿、旅館類建築基準</t>
  </si>
  <si>
    <t>文教辦公基準</t>
  </si>
  <si>
    <t>商業醫療建築基準</t>
  </si>
  <si>
    <t>住宿、旅館類基準</t>
  </si>
  <si>
    <t>7F-16F</t>
  </si>
  <si>
    <t>住宿、旅館以外類基準</t>
  </si>
  <si>
    <t>住宿類基準</t>
  </si>
  <si>
    <t>電梯基準耗電量(kWh/(台/hr))</t>
    <phoneticPr fontId="7" type="noConversion"/>
  </si>
  <si>
    <t>備註</t>
    <phoneticPr fontId="7" type="noConversion"/>
  </si>
  <si>
    <t>17F-30F</t>
    <phoneticPr fontId="7" type="noConversion"/>
  </si>
  <si>
    <t>31F以上</t>
    <phoneticPr fontId="7" type="noConversion"/>
  </si>
  <si>
    <t>依實際荷重與額定速度為準</t>
    <phoneticPr fontId="7" type="noConversion"/>
  </si>
  <si>
    <t>7F以下</t>
    <phoneticPr fontId="7" type="noConversion"/>
  </si>
  <si>
    <t>一般電梯全負荷耗電(kWh/台hr)</t>
    <phoneticPr fontId="7" type="noConversion"/>
  </si>
  <si>
    <t>額定載重(kg/台)</t>
    <phoneticPr fontId="7" type="noConversion"/>
  </si>
  <si>
    <t>耗電量(kW/台hr)</t>
    <phoneticPr fontId="7" type="noConversion"/>
  </si>
  <si>
    <t>電扶梯級寬(m)</t>
    <phoneticPr fontId="7" type="noConversion"/>
  </si>
  <si>
    <t>電扶梯提升高度(m)</t>
    <phoneticPr fontId="7" type="noConversion"/>
  </si>
  <si>
    <t>功率(kW)</t>
    <phoneticPr fontId="7" type="noConversion"/>
  </si>
  <si>
    <t>判斷</t>
    <phoneticPr fontId="7" type="noConversion"/>
  </si>
  <si>
    <t>&lt;=</t>
    <phoneticPr fontId="7" type="noConversion"/>
  </si>
  <si>
    <t>&gt;</t>
    <phoneticPr fontId="7" type="noConversion"/>
  </si>
  <si>
    <t>非交通運輸類提升一層樓</t>
    <phoneticPr fontId="7" type="noConversion"/>
  </si>
  <si>
    <t>非交通運輸類提升二層樓以上</t>
    <phoneticPr fontId="7" type="noConversion"/>
  </si>
  <si>
    <t>床</t>
    <phoneticPr fontId="7" type="noConversion"/>
  </si>
  <si>
    <t>Or</t>
    <phoneticPr fontId="7" type="noConversion"/>
  </si>
  <si>
    <t>Ne</t>
    <phoneticPr fontId="7" type="noConversion"/>
  </si>
  <si>
    <t>Eel</t>
    <phoneticPr fontId="7" type="noConversion"/>
  </si>
  <si>
    <t>EEel</t>
    <phoneticPr fontId="7" type="noConversion"/>
  </si>
  <si>
    <t>YOH</t>
    <phoneticPr fontId="7" type="noConversion"/>
  </si>
  <si>
    <t>電梯</t>
    <phoneticPr fontId="7" type="noConversion"/>
  </si>
  <si>
    <t>電扶梯</t>
    <phoneticPr fontId="7" type="noConversion"/>
  </si>
  <si>
    <t>Osr</t>
    <phoneticPr fontId="7" type="noConversion"/>
  </si>
  <si>
    <t>Ns</t>
    <phoneticPr fontId="7" type="noConversion"/>
  </si>
  <si>
    <t>Eec</t>
    <phoneticPr fontId="7" type="noConversion"/>
  </si>
  <si>
    <t>動力系統
Et</t>
    <phoneticPr fontId="7" type="noConversion"/>
  </si>
  <si>
    <t>揚水系統
Ep</t>
    <phoneticPr fontId="7" type="noConversion"/>
  </si>
  <si>
    <t>一般分區用水</t>
    <phoneticPr fontId="7" type="noConversion"/>
  </si>
  <si>
    <t>HP1</t>
    <phoneticPr fontId="7" type="noConversion"/>
  </si>
  <si>
    <t>Qw</t>
    <phoneticPr fontId="7" type="noConversion"/>
  </si>
  <si>
    <t>QaW</t>
    <phoneticPr fontId="7" type="noConversion"/>
  </si>
  <si>
    <t>Qrw</t>
    <phoneticPr fontId="7" type="noConversion"/>
  </si>
  <si>
    <t>Vp</t>
    <phoneticPr fontId="7" type="noConversion"/>
  </si>
  <si>
    <t>Vs</t>
    <phoneticPr fontId="7" type="noConversion"/>
  </si>
  <si>
    <t>NR</t>
    <phoneticPr fontId="7" type="noConversion"/>
  </si>
  <si>
    <t>YOR</t>
    <phoneticPr fontId="7" type="noConversion"/>
  </si>
  <si>
    <t>NB</t>
    <phoneticPr fontId="7" type="noConversion"/>
  </si>
  <si>
    <t>YOB</t>
    <phoneticPr fontId="7" type="noConversion"/>
  </si>
  <si>
    <t>Afw</t>
    <phoneticPr fontId="7" type="noConversion"/>
  </si>
  <si>
    <t>YAH</t>
    <phoneticPr fontId="7" type="noConversion"/>
  </si>
  <si>
    <t>Afwa</t>
    <phoneticPr fontId="7" type="noConversion"/>
  </si>
  <si>
    <t>台數</t>
    <phoneticPr fontId="7" type="noConversion"/>
  </si>
  <si>
    <t>電梯基準耗電量</t>
    <phoneticPr fontId="7" type="noConversion"/>
  </si>
  <si>
    <t>電梯效率</t>
    <phoneticPr fontId="7" type="noConversion"/>
  </si>
  <si>
    <t>電梯類型</t>
    <phoneticPr fontId="7" type="noConversion"/>
  </si>
  <si>
    <t>一般電梯</t>
    <phoneticPr fontId="7" type="noConversion"/>
  </si>
  <si>
    <t>變頻電梯</t>
    <phoneticPr fontId="7" type="noConversion"/>
  </si>
  <si>
    <t>變頻電力回收電梯</t>
    <phoneticPr fontId="7" type="noConversion"/>
  </si>
  <si>
    <t>電扶梯營運</t>
    <phoneticPr fontId="7" type="noConversion"/>
  </si>
  <si>
    <t>運轉時數</t>
    <phoneticPr fontId="7" type="noConversion"/>
  </si>
  <si>
    <t>EEec</t>
    <phoneticPr fontId="7" type="noConversion"/>
  </si>
  <si>
    <t>電扶梯基準耗電量</t>
    <phoneticPr fontId="7" type="noConversion"/>
  </si>
  <si>
    <t>電扶梯效率</t>
    <phoneticPr fontId="7" type="noConversion"/>
  </si>
  <si>
    <t>水塔高度</t>
    <phoneticPr fontId="7" type="noConversion"/>
  </si>
  <si>
    <t>年用水量</t>
    <phoneticPr fontId="7" type="noConversion"/>
  </si>
  <si>
    <t>雨中水年利用量</t>
    <phoneticPr fontId="7" type="noConversion"/>
  </si>
  <si>
    <t>全年營運時間</t>
    <phoneticPr fontId="7" type="noConversion"/>
  </si>
  <si>
    <t>SPA 池體積</t>
    <phoneticPr fontId="7" type="noConversion"/>
  </si>
  <si>
    <t>泳池體積</t>
    <phoneticPr fontId="7" type="noConversion"/>
  </si>
  <si>
    <t>旅館年住房率</t>
    <phoneticPr fontId="7" type="noConversion"/>
  </si>
  <si>
    <t>醫院病房區年占床率</t>
    <phoneticPr fontId="7" type="noConversion"/>
  </si>
  <si>
    <t>病房之床數</t>
    <phoneticPr fontId="7" type="noConversion"/>
  </si>
  <si>
    <t>盥洗室面積</t>
    <phoneticPr fontId="7" type="noConversion"/>
  </si>
  <si>
    <t>水冷式空調用水量</t>
    <phoneticPr fontId="7" type="noConversion"/>
  </si>
  <si>
    <t>分區全年空調時間</t>
    <phoneticPr fontId="7" type="noConversion"/>
  </si>
  <si>
    <t>水冷式空調供應樓地板面積</t>
    <phoneticPr fontId="7" type="noConversion"/>
  </si>
  <si>
    <t>雨水回收量</t>
    <phoneticPr fontId="7" type="noConversion"/>
  </si>
  <si>
    <t>空調用水量</t>
    <phoneticPr fontId="7" type="noConversion"/>
  </si>
  <si>
    <t>熱水系統
Eh</t>
    <phoneticPr fontId="7" type="noConversion"/>
  </si>
  <si>
    <t>Qhw</t>
    <phoneticPr fontId="7" type="noConversion"/>
  </si>
  <si>
    <t>Qshw</t>
    <phoneticPr fontId="7" type="noConversion"/>
  </si>
  <si>
    <t>一般分區熱水加熱</t>
    <phoneticPr fontId="7" type="noConversion"/>
  </si>
  <si>
    <t>泳池&amp;SPA熱水加熱</t>
    <phoneticPr fontId="7" type="noConversion"/>
  </si>
  <si>
    <t>YODw</t>
    <phoneticPr fontId="7" type="noConversion"/>
  </si>
  <si>
    <t>熱水加熱量</t>
    <phoneticPr fontId="7" type="noConversion"/>
  </si>
  <si>
    <t>年營運日數</t>
    <phoneticPr fontId="7" type="noConversion"/>
  </si>
  <si>
    <t>Afi</t>
    <phoneticPr fontId="7" type="noConversion"/>
  </si>
  <si>
    <t>YOD</t>
    <phoneticPr fontId="7" type="noConversion"/>
  </si>
  <si>
    <t>大型氣源熱泵加熱耗電</t>
    <phoneticPr fontId="7" type="noConversion"/>
  </si>
  <si>
    <t>儲熱電熱水器加熱</t>
    <phoneticPr fontId="7" type="noConversion"/>
  </si>
  <si>
    <t>餐廳耗能分區室內樓地板面積</t>
    <phoneticPr fontId="7" type="noConversion"/>
  </si>
  <si>
    <t>餐廳全年營運天數</t>
    <phoneticPr fontId="7" type="noConversion"/>
  </si>
  <si>
    <t>一般分區熱水加熱量</t>
    <phoneticPr fontId="7" type="noConversion"/>
  </si>
  <si>
    <t>電費資料</t>
    <phoneticPr fontId="7" type="noConversion"/>
  </si>
  <si>
    <t>1月份</t>
    <phoneticPr fontId="7" type="noConversion"/>
  </si>
  <si>
    <t>2月份</t>
    <phoneticPr fontId="7" type="noConversion"/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</si>
  <si>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</si>
  <si>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</si>
  <si>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</si>
  <si>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</si>
  <si>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</si>
  <si>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</si>
  <si>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</si>
  <si>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</si>
  <si>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</si>
  <si>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</si>
  <si>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註.如果電費單據是雙月1張，請填寫「單數」月</t>
    <phoneticPr fontId="7" type="noConversion"/>
  </si>
  <si>
    <t>基本資料</t>
    <phoneticPr fontId="7" type="noConversion"/>
  </si>
  <si>
    <t>建築物名稱：</t>
    <phoneticPr fontId="7" type="noConversion"/>
  </si>
  <si>
    <t>建築物地址：</t>
    <phoneticPr fontId="7" type="noConversion"/>
  </si>
  <si>
    <t>建築物地區：</t>
    <phoneticPr fontId="7" type="noConversion"/>
  </si>
  <si>
    <t>樓地板面積：</t>
    <phoneticPr fontId="7" type="noConversion"/>
  </si>
  <si>
    <t>地上總樓層數：</t>
    <phoneticPr fontId="7" type="noConversion"/>
  </si>
  <si>
    <t>地下總樓層數：</t>
    <phoneticPr fontId="7" type="noConversion"/>
  </si>
  <si>
    <t>地區總稱</t>
    <phoneticPr fontId="7" type="noConversion"/>
  </si>
  <si>
    <t>臺北市大安區</t>
  </si>
  <si>
    <t>臺北市大同區</t>
  </si>
  <si>
    <t>臺北市松山區</t>
  </si>
  <si>
    <t>臺北市萬華區</t>
  </si>
  <si>
    <t>臺北市中正區</t>
  </si>
  <si>
    <t>臺北市信義區</t>
  </si>
  <si>
    <t>臺北市內湖區</t>
  </si>
  <si>
    <t>臺北市文山區</t>
  </si>
  <si>
    <t>新北市永和區</t>
  </si>
  <si>
    <t>新北市蘆洲區</t>
  </si>
  <si>
    <t>新北市板橋區</t>
  </si>
  <si>
    <t>新北市三重區</t>
  </si>
  <si>
    <t>新北市中山區</t>
  </si>
  <si>
    <t>新北市新莊區</t>
  </si>
  <si>
    <t>新北市中和區</t>
  </si>
  <si>
    <t>新北市土城區</t>
  </si>
  <si>
    <t>臺中市中區</t>
  </si>
  <si>
    <t>臺中市北區</t>
  </si>
  <si>
    <t>臺中市西區</t>
  </si>
  <si>
    <t>臺中市南區</t>
  </si>
  <si>
    <t>臺中市東區</t>
  </si>
  <si>
    <t>臺南市東區</t>
  </si>
  <si>
    <t>臺南市北區</t>
  </si>
  <si>
    <t>臺南市中西區</t>
  </si>
  <si>
    <t>高雄市苓雅區</t>
  </si>
  <si>
    <t>高雄市旗津區</t>
  </si>
  <si>
    <t>高雄市三民區</t>
  </si>
  <si>
    <t>高雄市鹽埕區</t>
  </si>
  <si>
    <t>高雄市前金區</t>
  </si>
  <si>
    <t>高雄市新興區</t>
  </si>
  <si>
    <t>高雄市鳳山區</t>
  </si>
  <si>
    <t>高雄市左營區</t>
  </si>
  <si>
    <t>高雄市前鎮區</t>
  </si>
  <si>
    <t>高雄市鼓山區</t>
  </si>
  <si>
    <t>基隆市仁愛區</t>
  </si>
  <si>
    <t>桃園市桃園區</t>
  </si>
  <si>
    <t>新竹市北區</t>
  </si>
  <si>
    <t>臺北市南港區</t>
  </si>
  <si>
    <t>臺北市士林區</t>
  </si>
  <si>
    <t>臺北市北投區</t>
  </si>
  <si>
    <t>新北市樹林區</t>
  </si>
  <si>
    <t>新北市泰山區</t>
  </si>
  <si>
    <t>新北市鶯歌區</t>
  </si>
  <si>
    <t>新北市汐止區</t>
  </si>
  <si>
    <t>新北市新店區</t>
  </si>
  <si>
    <t>基隆市中正區</t>
  </si>
  <si>
    <t>基隆市信義區</t>
  </si>
  <si>
    <t>基隆市安樂區</t>
  </si>
  <si>
    <t>基隆市中山區</t>
  </si>
  <si>
    <t>桃園市八德區</t>
  </si>
  <si>
    <t>桃園市中壢區</t>
  </si>
  <si>
    <t>桃園市平鎮區</t>
  </si>
  <si>
    <t>臺中市大里區</t>
  </si>
  <si>
    <t xml:space="preserve">臺中市西屯區 </t>
  </si>
  <si>
    <t>臺中市南屯區</t>
  </si>
  <si>
    <t>臺中市北屯區</t>
  </si>
  <si>
    <t>臺中市潭孒區</t>
  </si>
  <si>
    <t>臺中市豐原區</t>
  </si>
  <si>
    <t>臺中市梧棲區</t>
  </si>
  <si>
    <t>臺中市大雅區</t>
  </si>
  <si>
    <t>臺南市安平區</t>
  </si>
  <si>
    <t>臺南市永康區</t>
  </si>
  <si>
    <t>臺南市南區</t>
  </si>
  <si>
    <t>高雄市楠梓區</t>
  </si>
  <si>
    <t>高雄市小港區</t>
  </si>
  <si>
    <t>高雄市梓官區</t>
  </si>
  <si>
    <t>新竹市東區</t>
  </si>
  <si>
    <t>新竹縣竹北市</t>
  </si>
  <si>
    <t>彰化縣彰化市</t>
  </si>
  <si>
    <t>彰化縣員林市</t>
  </si>
  <si>
    <t>宜蘭縣羅東鎮</t>
  </si>
  <si>
    <t>宜蘭縣宜蘭市</t>
  </si>
  <si>
    <t>嘉義市西區</t>
  </si>
  <si>
    <t>嘉義市東區</t>
  </si>
  <si>
    <t>屏東縣屏東市</t>
  </si>
  <si>
    <t>花蓮縣花蓮市</t>
  </si>
  <si>
    <t>新北市五股區</t>
  </si>
  <si>
    <t>新北市淡水區</t>
  </si>
  <si>
    <t>新北市林囗區</t>
  </si>
  <si>
    <t>新北市深坑區</t>
  </si>
  <si>
    <t>桃園市龜山區</t>
  </si>
  <si>
    <t>桃園市蘆竹區</t>
  </si>
  <si>
    <t>桃園市楊梅區</t>
  </si>
  <si>
    <t>桃園市龍潭區</t>
  </si>
  <si>
    <t>桃園市大園區</t>
  </si>
  <si>
    <t>新竹縣竹東鎮</t>
  </si>
  <si>
    <t>新竹縣湖囗鄉</t>
  </si>
  <si>
    <t>新竹縣新豐鄉</t>
  </si>
  <si>
    <t>苗栗縣苗栗市</t>
  </si>
  <si>
    <t>苗栗縣竹南鎮</t>
  </si>
  <si>
    <t>苗栗縣頭份市</t>
  </si>
  <si>
    <t>臺中市沙鹿區</t>
  </si>
  <si>
    <t xml:space="preserve">臺中市龍井區 </t>
  </si>
  <si>
    <t xml:space="preserve">臺中市神岡區 </t>
  </si>
  <si>
    <t>臺中市烏日區</t>
  </si>
  <si>
    <t>臺中市太平區</t>
  </si>
  <si>
    <t>臺中市大肚區</t>
  </si>
  <si>
    <t>臺中市清水區</t>
  </si>
  <si>
    <t>臺中市大甲區</t>
  </si>
  <si>
    <t>彰化縣和美鎮</t>
  </si>
  <si>
    <t>彰化縣鹿港鎮</t>
  </si>
  <si>
    <t>彰化縣永靖鄉</t>
  </si>
  <si>
    <t>彰化縣溪湖鎮</t>
  </si>
  <si>
    <t>彰化縣北斗鎮</t>
  </si>
  <si>
    <t>彰化縣秀水鄉</t>
  </si>
  <si>
    <t>彰化縣花壇鄉</t>
  </si>
  <si>
    <t>彰化縣田中鎮</t>
  </si>
  <si>
    <t>彰化縣大村鄉</t>
  </si>
  <si>
    <t>彰化縣社頭鄉</t>
  </si>
  <si>
    <t>彰化縣田尾鄉</t>
  </si>
  <si>
    <t>彰化縣埔心鄉</t>
  </si>
  <si>
    <t>彰化縣伸港鄉</t>
  </si>
  <si>
    <t>臺南市新營區</t>
  </si>
  <si>
    <t>臺南市安南區</t>
  </si>
  <si>
    <t>臺南市佳里區</t>
  </si>
  <si>
    <t>臺南市仁德區</t>
  </si>
  <si>
    <t>臺南市歸仁區</t>
  </si>
  <si>
    <t>高雄市仁武區</t>
  </si>
  <si>
    <t>高雄市林園區</t>
  </si>
  <si>
    <t>高雄市岡山區</t>
  </si>
  <si>
    <t>高雄市茄萣區</t>
  </si>
  <si>
    <t>高雄市鳥松區</t>
  </si>
  <si>
    <t>高雄市大寮區</t>
  </si>
  <si>
    <t>高雄市湖內區</t>
  </si>
  <si>
    <t>高雄市橋頭區</t>
  </si>
  <si>
    <t>高雄市彌陀區</t>
  </si>
  <si>
    <t>高雄市大社區</t>
  </si>
  <si>
    <t>高雄市路竹區</t>
  </si>
  <si>
    <t>屏東縣琉球鄉</t>
  </si>
  <si>
    <t>屏東縣東港鎮</t>
  </si>
  <si>
    <t>屏東縣潮州鎮</t>
  </si>
  <si>
    <t>屏東縣林邊鄉</t>
  </si>
  <si>
    <t>基隆市暖暖區</t>
  </si>
  <si>
    <t>宜蘭縣五結鄉</t>
  </si>
  <si>
    <t>新竹市香山區</t>
  </si>
  <si>
    <t>南投縣南投市</t>
  </si>
  <si>
    <t>雲林縣斗六市</t>
  </si>
  <si>
    <t>雲林縣虎尾鎮</t>
  </si>
  <si>
    <t>花蓮縣吉安鄉</t>
  </si>
  <si>
    <t>金門縣金城鎮</t>
  </si>
  <si>
    <t>金門縣金寧鄉</t>
  </si>
  <si>
    <t>澎湖縣馬公市</t>
  </si>
  <si>
    <t>其他</t>
  </si>
  <si>
    <t>m2</t>
    <phoneticPr fontId="7" type="noConversion"/>
  </si>
  <si>
    <t>層</t>
    <phoneticPr fontId="7" type="noConversion"/>
  </si>
  <si>
    <t>建築分區</t>
    <phoneticPr fontId="7" type="noConversion"/>
  </si>
  <si>
    <r>
      <rPr>
        <sz val="12"/>
        <color theme="1"/>
        <rFont val="DFKaiShu-SB-Estd-BF"/>
        <family val="2"/>
        <charset val="136"/>
      </rPr>
      <t>面積</t>
    </r>
    <phoneticPr fontId="7" type="noConversion"/>
  </si>
  <si>
    <t>*2：該分類若為 24hr 營運型態，則營運率以表列營運率 80%計之。</t>
    <phoneticPr fontId="7" type="noConversion"/>
  </si>
  <si>
    <t>*1：若電梯同時服務多類建築分類空間時,營運率以其平均營運率設定之。</t>
    <phoneticPr fontId="7" type="noConversion"/>
  </si>
  <si>
    <t>建築分類</t>
    <phoneticPr fontId="7" type="noConversion"/>
  </si>
  <si>
    <t>飯店客房數</t>
    <phoneticPr fontId="7" type="noConversion"/>
  </si>
  <si>
    <t>電梯資料</t>
    <phoneticPr fontId="7" type="noConversion"/>
  </si>
  <si>
    <t>用水資料</t>
    <phoneticPr fontId="7" type="noConversion"/>
  </si>
  <si>
    <t>電梯額定載重 (kg/台)</t>
    <phoneticPr fontId="7" type="noConversion"/>
  </si>
  <si>
    <r>
      <rPr>
        <sz val="12"/>
        <color theme="1"/>
        <rFont val="DFKaiShu-SB-Estd-BF"/>
        <family val="2"/>
        <charset val="136"/>
      </rPr>
      <t>台數</t>
    </r>
    <phoneticPr fontId="7" type="noConversion"/>
  </si>
  <si>
    <r>
      <rPr>
        <sz val="12"/>
        <color theme="1"/>
        <rFont val="DFKaiShu-SB-Estd-BF"/>
        <family val="2"/>
        <charset val="136"/>
      </rPr>
      <t>類型</t>
    </r>
    <r>
      <rPr>
        <sz val="12"/>
        <color theme="1"/>
        <rFont val="DFKaiShu-SB-Estd-BF"/>
        <family val="2"/>
        <charset val="136"/>
      </rPr>
      <t>(選擇)</t>
    </r>
    <phoneticPr fontId="7" type="noConversion"/>
  </si>
  <si>
    <t>電扶梯資料</t>
    <phoneticPr fontId="7" type="noConversion"/>
  </si>
  <si>
    <t>載重(kg/台)</t>
    <phoneticPr fontId="7" type="noConversion"/>
  </si>
  <si>
    <t>速度(m/min)</t>
    <phoneticPr fontId="7" type="noConversion"/>
  </si>
  <si>
    <r>
      <rPr>
        <sz val="12"/>
        <color theme="1"/>
        <rFont val="DFKaiShu-SB-Estd-BF"/>
        <family val="2"/>
        <charset val="136"/>
      </rPr>
      <t>運轉時數</t>
    </r>
    <r>
      <rPr>
        <sz val="12"/>
        <color theme="1"/>
        <rFont val="DFKaiShu-SB-Estd-BF"/>
        <family val="2"/>
        <charset val="136"/>
      </rPr>
      <t>(hr)</t>
    </r>
    <phoneticPr fontId="7" type="noConversion"/>
  </si>
  <si>
    <r>
      <rPr>
        <sz val="12"/>
        <color theme="1"/>
        <rFont val="DFKaiShu-SB-Estd-BF"/>
        <family val="2"/>
        <charset val="136"/>
      </rPr>
      <t>水塔高度</t>
    </r>
    <phoneticPr fontId="7" type="noConversion"/>
  </si>
  <si>
    <t>%</t>
    <phoneticPr fontId="7" type="noConversion"/>
  </si>
  <si>
    <t>m3</t>
    <phoneticPr fontId="7" type="noConversion"/>
  </si>
  <si>
    <t>房</t>
    <phoneticPr fontId="7" type="noConversion"/>
  </si>
  <si>
    <t>空調使用情形(選擇)</t>
    <phoneticPr fontId="7" type="noConversion"/>
  </si>
  <si>
    <r>
      <rPr>
        <b/>
        <sz val="12"/>
        <color theme="1"/>
        <rFont val="標楷體"/>
        <charset val="136"/>
      </rPr>
      <t>營運時間</t>
    </r>
    <r>
      <rPr>
        <b/>
        <vertAlign val="superscript"/>
        <sz val="12"/>
        <color theme="1"/>
        <rFont val="Times New Roman"/>
        <family val="1"/>
      </rPr>
      <t>4</t>
    </r>
    <r>
      <rPr>
        <b/>
        <sz val="12"/>
        <color theme="1"/>
        <rFont val="Times New Roman"/>
        <family val="1"/>
      </rPr>
      <t xml:space="preserve"> </t>
    </r>
    <phoneticPr fontId="7" type="noConversion"/>
  </si>
  <si>
    <t>(YOH, h/yr)</t>
  </si>
  <si>
    <r>
      <rPr>
        <sz val="12"/>
        <color theme="1"/>
        <rFont val="DFKaiShu-SB-Estd-BF"/>
        <family val="2"/>
        <charset val="136"/>
      </rPr>
      <t>是否使用水冷中央空調</t>
    </r>
    <r>
      <rPr>
        <sz val="12"/>
        <color theme="1"/>
        <rFont val="DFKaiShu-SB-Estd-BF"/>
      </rPr>
      <t>(選擇)</t>
    </r>
    <phoneticPr fontId="7" type="noConversion"/>
  </si>
  <si>
    <t>室內餐廳樓地板面積</t>
    <phoneticPr fontId="7" type="noConversion"/>
  </si>
  <si>
    <t xml:space="preserve">A1 住宿類-小型護理或長照機構(H-1、H-2) </t>
  </si>
  <si>
    <t xml:space="preserve">A2 住宿類-小型日照機構、幼兒園(H-1、H-2) </t>
  </si>
  <si>
    <t xml:space="preserve">A3 住宿類-值班宿舍或招待所 </t>
  </si>
  <si>
    <t>A4 住宿類-學生宿舍(有寒暑假之學校住宿)</t>
  </si>
  <si>
    <t>A5 住宿類-租宿舍或民宿</t>
  </si>
  <si>
    <t>B1 行政辦公大樓-企業商辦大樓(五都主要商圈、中央空調、大銀行或大國際品牌企業進駐、大廳有大訪客休息</t>
  </si>
  <si>
    <t>B2 行政辦公大樓-企業商辯大樓專用大廳或專用走廊休息區等次空間</t>
  </si>
  <si>
    <t>B3 行政辦公大樓-一般辦公大樓(一般商辦、政府辦公、分租型辦公)</t>
  </si>
  <si>
    <t>B4 行政辦公大樓-一般辦公大樓專用大或專用走廊休息區等次空間</t>
  </si>
  <si>
    <t>C1 圖書館-國家圖書館或六都總圖書館之書/ 閱覽區</t>
  </si>
  <si>
    <t xml:space="preserve">C2 圖書館-國家圖書館或六都總圖書館之大廳 (含動態展區與休息廳) </t>
  </si>
  <si>
    <t>C3 圖書館-國家圖書館或六都總圖書館或大學總圖書館之行政辦公區</t>
  </si>
  <si>
    <t>C4 圖書館-C1以外圖書館之書閱覽區</t>
  </si>
  <si>
    <t>C5 圖書館-C1以外圖書館之大廳(含動態展區與休息廳)</t>
  </si>
  <si>
    <t>C6 圖書館-C1以外圖書館之行政辦公區</t>
  </si>
  <si>
    <t>C7 圖書館-大學總圖書館之書庫/閱覽區</t>
  </si>
  <si>
    <t>C8 圖書館-大學總圖書館之大廳(含動態展區與休息廳)</t>
  </si>
  <si>
    <t>D1 展覽類-A級全天空調展覽區(低濕控制)</t>
  </si>
  <si>
    <t>D2 展覽類-B級全天空調展覽區</t>
  </si>
  <si>
    <t>D3 展覽類-B級營業時間內空調展覽區</t>
  </si>
  <si>
    <t>D4 展覽類-展覽類行政辦公區</t>
  </si>
  <si>
    <t>D5 展覽類-大廳</t>
  </si>
  <si>
    <t>E1 文化中心、生活美學館-出租展覽區</t>
  </si>
  <si>
    <t>E2 文化中心、生活美學館-行政辦公區</t>
  </si>
  <si>
    <t>E3 文化中心、生活美學館-大廳</t>
  </si>
  <si>
    <t>F1 出租專用體育館、會議廳或藝文教室-200人以上體育館、大會議與其專屬大廳</t>
  </si>
  <si>
    <t>F2 出租專用體育館、會議廳或藝文教室-少於200人之體育館、中小型會議或藝文教室與其專屬門走廊</t>
  </si>
  <si>
    <t>F3 出租專用體育館、會議廳或藝文教室-體育館、演講中心行政辦公區</t>
  </si>
  <si>
    <t>F4 出租專用體育館、會議廳或藝文教室-大廳</t>
  </si>
  <si>
    <t>G1 有聲光控制舞台之演藝廳-國家級演藝與其專屬門廳走廊</t>
  </si>
  <si>
    <t>G2 有聲光控制舞台之演藝廳-一般級別演藝與其專屬門走廊</t>
  </si>
  <si>
    <t>H1 飯店、餐廳、商店、休閒-飯店客房區</t>
  </si>
  <si>
    <t>H2 飯店、餐廳、商店、休閒-店客房區(冬季供暖房型)</t>
  </si>
  <si>
    <t>H3 飯店、餐廳、商店、休閒-飯店8小時一般行政辦公區</t>
  </si>
  <si>
    <t>H4 飯店、餐廳、商店、休閒-飯店餐飲宴會部行政辦公區</t>
  </si>
  <si>
    <t>H5 飯店、餐廳、商店、休閒-客房設施部維管辦公區</t>
  </si>
  <si>
    <t>H6 飯店、餐廳、商店、休閒-飯店櫃檯接待大廳休息區</t>
  </si>
  <si>
    <t>H7 飯店、餐廳、商店、休閒-員工休息、盥洗室</t>
  </si>
  <si>
    <t>H8 飯店、餐廳、商店、休閒-飯店附設游泳池區</t>
  </si>
  <si>
    <t>H9 飯店、餐廳、商店、休閒-飯店附設運動中心</t>
  </si>
  <si>
    <t>H10 飯店、餐廳、商店、休閒-宴會廳(主要以宴客為主、不含專用廚房，以12餐之70%計)</t>
  </si>
  <si>
    <t>I1 餐飲類-供一餐餐用餐區(不含專用廚房)</t>
  </si>
  <si>
    <t>I2 餐飲類-供午晚兩餐餐廳用餐區(不含專用廚房)</t>
  </si>
  <si>
    <t>I3 餐飲類-供三餐餐用餐區(不含專用廚房)</t>
  </si>
  <si>
    <t>I4 餐飲類-輕食類或咖啡用餐區(不含吧與廚房區)</t>
  </si>
  <si>
    <t>I5 餐飲類-24餐用餐區 (不含專用廚房)</t>
  </si>
  <si>
    <t>I6 餐飲類-火鍋、燒烤店(含廚房)</t>
  </si>
  <si>
    <t>I7 餐飲類-百貨商場美食街 (不含專用廚房)</t>
  </si>
  <si>
    <t>J1 商店娛樂類-12小時一般商店、百貨專櫃、名店</t>
  </si>
  <si>
    <t>J2 商店娛樂類-12小時高照明商場(精品專櫃區)</t>
  </si>
  <si>
    <t>J3 商店娛樂類-24hr零售商店</t>
  </si>
  <si>
    <t>J4 商店娛樂類-24hr高照明商場、便利商店(沿街型)</t>
  </si>
  <si>
    <t>J5 商店娛樂類-15小時超市、量販店一般貨品區</t>
  </si>
  <si>
    <t>J6 商店娛樂類-超市、量販店冰櫃式冷凍冷藏生鮮區</t>
  </si>
  <si>
    <t>J7 商店娛樂類-電影院、影城</t>
  </si>
  <si>
    <t>J8 商店娛樂類-12小時小鋼珠店、電子遊樂場</t>
  </si>
  <si>
    <t>J9 商店娛樂類-24小KTV</t>
  </si>
  <si>
    <t>J10 商店娛樂類-24小時網咖</t>
  </si>
  <si>
    <t>K1 醫院-醫院病房區</t>
  </si>
  <si>
    <t>K2 醫院-門診醫療空間或 G-3類之小醫院、私人診所</t>
  </si>
  <si>
    <t>K3 醫院-24小時加護病房區、急診部</t>
  </si>
  <si>
    <t>K4 醫院-24小時手術房區、檢驗部</t>
  </si>
  <si>
    <t>K5 醫院-醫院大含掛號業務大廳</t>
  </si>
  <si>
    <t>K6 醫院-醫院一般行政辮公區與設施維館管理區域</t>
  </si>
  <si>
    <t>K7 醫院-腫瘤放射重設備</t>
  </si>
  <si>
    <t>K8 醫院-護理或長照機構 (F-1)</t>
  </si>
  <si>
    <t>K9 醫院-日照機構、幼兒(F-1)</t>
  </si>
  <si>
    <t>L1 運動休閒類-行政、辦公、設施維護管理區(使用率100%)</t>
  </si>
  <si>
    <t>L2 運動休閒類-高樓層球類運動區( 11M高,使用率75%)</t>
  </si>
  <si>
    <t>L3 運動休閒類-體能調適運動區 (健身房,使用率100%)</t>
  </si>
  <si>
    <t>L41 運動休閒類-多功能教室社區教室、棋藝閱覽室、兒童遊戲室、桌球室、撞球室,使用率62.5%)</t>
  </si>
  <si>
    <t>L42 運動休閒類-多功能教室(韻律教室、飛輪教室、舞蹈教室、壁球室, 使用率75 %)</t>
  </si>
  <si>
    <t>L5 運動休閒類-室內溜冰區 (使用率100 %)</t>
  </si>
  <si>
    <t>L61 運動休閒類-全年溫水空調型游泳池</t>
  </si>
  <si>
    <t>L62 運動休閒類-季節溫水空調型游泳池</t>
  </si>
  <si>
    <t>L63 運動休閒類-通風無空調季節溫水游泳池</t>
  </si>
  <si>
    <t>NB1 非BERS適用分區-國小教室(辦公區歸B3)</t>
  </si>
  <si>
    <t>NB2 非BERS適用分區-國中教室(辦公區歸B3)</t>
  </si>
  <si>
    <t>NB3 非BERS適用分區-高中職、大專教室、教師研究室 (辦公區歸B3)</t>
  </si>
  <si>
    <t>NB4 非BERS適用分區-究機構實驗室</t>
  </si>
  <si>
    <t>NB5 非BERS適用分區-室內體育館(A-1)</t>
  </si>
  <si>
    <t>NB6 非BERS適用分區-車站、轉運站、航站業務大 (A-2)</t>
  </si>
  <si>
    <t>NB7 非BERS適用分區-24小時作業無空調一般工廠製程區 (辦公區歸B3)</t>
  </si>
  <si>
    <t>NB8 非BERS適用分區-24小時作業空調型一般工廠製程區辦公區歸B3</t>
  </si>
  <si>
    <t>NB9 非BERS適用分區-24小時作業空調型精密或潔淨製造製程區(辦公區歸 B3)</t>
  </si>
  <si>
    <t>NB10 非BERS適用分區-10小時作業無空調一般工廠製程區 (公區歸B3)</t>
  </si>
  <si>
    <t>NB11 非BERS適用分區-10小時作業空調型一般工廠製程區辦公區歸B3</t>
  </si>
  <si>
    <t>NB12 非BERS適用分區-10小時作業空調型精密或潔淨製造製程區(辦公區歸 B3)</t>
  </si>
  <si>
    <t>NB13 非BERS適用分區-室內停車場</t>
  </si>
  <si>
    <t>NB14 非BERS適用分區-無空調通風型專用倉儲</t>
  </si>
  <si>
    <t>NB15 非BERS適用分區-空調型專用倉儲</t>
  </si>
  <si>
    <t>N5 人員進出型專用冷藏室-人員進出型專用冷藏室</t>
  </si>
  <si>
    <t>N6 人員進出型專用冷凍室-人員進出型專用冷凍室</t>
  </si>
  <si>
    <t>N7 休閒設施烤箱或蒸氣室-休閒設施烤箱或蒸氣室</t>
  </si>
  <si>
    <t>N8 電腦、電信機房(內含高密度機櫃之空調 空間)-電腦、電信機房(內含高密度機櫃之空調 空間)</t>
  </si>
  <si>
    <t>N9 屋突面積-屋突面積</t>
  </si>
  <si>
    <t>N10 閒置未使用空間-閒置未使用空間</t>
  </si>
  <si>
    <t>N11 不在6類12組BERS建築使用分類之分區-不在6類12組BERS建築使用分類之分區</t>
  </si>
  <si>
    <t>N12 其他申請者認為不應評估分區-其他申請者認為不應評估分區</t>
  </si>
  <si>
    <t>寬度(m)(選擇)</t>
    <phoneticPr fontId="7" type="noConversion"/>
  </si>
  <si>
    <t>提升高度(m)(選擇)</t>
    <phoneticPr fontId="7" type="noConversion"/>
  </si>
  <si>
    <t>機房資料</t>
    <phoneticPr fontId="7" type="noConversion"/>
  </si>
  <si>
    <t>註：同一種空間類型加總計算</t>
    <phoneticPr fontId="7" type="noConversion"/>
  </si>
  <si>
    <t>一、免評估分區面積與年耗電量計算</t>
    <phoneticPr fontId="7" type="noConversion"/>
  </si>
  <si>
    <t>一、評估分區面積與中位值年耗電量計算</t>
    <phoneticPr fontId="7" type="noConversion"/>
  </si>
  <si>
    <t>機房名稱</t>
    <phoneticPr fontId="7" type="noConversion"/>
  </si>
  <si>
    <t>機櫃總功率(kW)</t>
    <phoneticPr fontId="7" type="noConversion"/>
  </si>
  <si>
    <t>是否為水冷</t>
    <phoneticPr fontId="7" type="noConversion"/>
  </si>
  <si>
    <t>是</t>
  </si>
  <si>
    <t>-</t>
    <phoneticPr fontId="7" type="noConversion"/>
  </si>
  <si>
    <t>耗電量</t>
    <phoneticPr fontId="7" type="noConversion"/>
  </si>
  <si>
    <r>
      <rPr>
        <sz val="12"/>
        <color theme="1"/>
        <rFont val="DFKaiShu-SB-Estd-BF"/>
        <family val="2"/>
        <charset val="136"/>
      </rPr>
      <t>耗電量</t>
    </r>
    <phoneticPr fontId="7" type="noConversion"/>
  </si>
  <si>
    <t>一般電扶梯</t>
    <phoneticPr fontId="7" type="noConversion"/>
  </si>
  <si>
    <t>變頻怠速控制電梯</t>
    <phoneticPr fontId="7" type="noConversion"/>
  </si>
  <si>
    <t>電扶梯類型</t>
    <phoneticPr fontId="7" type="noConversion"/>
  </si>
  <si>
    <r>
      <t>分區類型(</t>
    </r>
    <r>
      <rPr>
        <b/>
        <sz val="12"/>
        <color theme="1"/>
        <rFont val="DFKaiShu-SB-Estd-BF"/>
        <family val="2"/>
        <charset val="136"/>
      </rPr>
      <t>選擇</t>
    </r>
    <r>
      <rPr>
        <sz val="12"/>
        <color theme="1"/>
        <rFont val="DFKaiShu-SB-Estd-BF"/>
        <family val="2"/>
        <charset val="136"/>
      </rPr>
      <t>)</t>
    </r>
    <phoneticPr fontId="7" type="noConversion"/>
  </si>
  <si>
    <t>hr/yr</t>
    <phoneticPr fontId="7" type="noConversion"/>
  </si>
  <si>
    <t>day/yr</t>
    <phoneticPr fontId="7" type="noConversion"/>
  </si>
  <si>
    <t>N111</t>
    <phoneticPr fontId="7" type="noConversion"/>
  </si>
  <si>
    <t>N112</t>
    <phoneticPr fontId="7" type="noConversion"/>
  </si>
  <si>
    <t>N121</t>
    <phoneticPr fontId="7" type="noConversion"/>
  </si>
  <si>
    <t>N122</t>
    <phoneticPr fontId="7" type="noConversion"/>
  </si>
  <si>
    <t>N131</t>
    <phoneticPr fontId="7" type="noConversion"/>
  </si>
  <si>
    <t>N132</t>
    <phoneticPr fontId="7" type="noConversion"/>
  </si>
  <si>
    <t>N141</t>
    <phoneticPr fontId="7" type="noConversion"/>
  </si>
  <si>
    <t>N142</t>
    <phoneticPr fontId="7" type="noConversion"/>
  </si>
  <si>
    <t>N211</t>
    <phoneticPr fontId="7" type="noConversion"/>
  </si>
  <si>
    <t>N212</t>
    <phoneticPr fontId="7" type="noConversion"/>
  </si>
  <si>
    <t>N213</t>
    <phoneticPr fontId="7" type="noConversion"/>
  </si>
  <si>
    <t>N312</t>
    <phoneticPr fontId="7" type="noConversion"/>
  </si>
  <si>
    <t>N311</t>
    <phoneticPr fontId="7" type="noConversion"/>
  </si>
  <si>
    <t>N321</t>
    <phoneticPr fontId="7" type="noConversion"/>
  </si>
  <si>
    <t>N322</t>
    <phoneticPr fontId="7" type="noConversion"/>
  </si>
  <si>
    <t>N8 電腦、電信機房(內含高密度機櫃之空調 空間)-電腦、電信機房(內含高密度機櫃之空調空間)</t>
  </si>
  <si>
    <t>N111 專用廚房-供一餐時段餐廳專用廚房-高級餐廳專用廚房</t>
  </si>
  <si>
    <t>N112 專用廚房-供一餐時段餐廳專用廚房-平價餐廳或小吃街專用廚房</t>
  </si>
  <si>
    <t>N121 專用廚房-供兩餐時段餐廳專用廚房-高級餐廳專用廚房</t>
  </si>
  <si>
    <t>N122 專用廚房-供兩餐時段餐廳專用廚房-平價餐廳或小吃街專用廚房</t>
  </si>
  <si>
    <t>N131 專用廚房-供三餐時段餐廳專用廚房-高級餐廳專用廚房</t>
  </si>
  <si>
    <t>N132 專用廚房-供三餐時段餐廳專用廚房-平價餐廳或小吃街專用廚房</t>
  </si>
  <si>
    <t>N141 專用廚房-專用婚宴宴會場-高級餐廳專用廚房</t>
  </si>
  <si>
    <t>N142 專用廚房-專用婚宴宴會場-平價餐廳或小吃街專用廚房</t>
  </si>
  <si>
    <t>N15 專用廚房-輕食咖啡餐廳專用廚房區(含吧檯)</t>
  </si>
  <si>
    <t>N16 專用廚房-24hr 餐廳專用廚房區(速食連鎖餐廳)</t>
  </si>
  <si>
    <t>N17 專用廚房-量販店、超商熱食區專用廚房</t>
  </si>
  <si>
    <t>N211 專用洗衣空間-旅館專用洗衣空間-觀光或四星級以上旅館客房洗衣</t>
  </si>
  <si>
    <t>N212 專用洗衣空間-旅館專用洗衣空間-其他旅館客房洗衣</t>
  </si>
  <si>
    <t>N213 專用洗衣空間-旅館專用洗衣空間-旅館高級餐廳洗衣</t>
  </si>
  <si>
    <t>N22 專用洗衣空間-醫院專用洗衣空間-醫院專用洗衣空間(洗衣外包之醫院免計算)</t>
  </si>
  <si>
    <t>N311 室內停車場-住宿類建築室內停車場分區-地下一樓以上樓層停車區</t>
  </si>
  <si>
    <t>N312 室內停車場-住宿類建築室內停車場分區-地下二樓以下樓層停車區</t>
  </si>
  <si>
    <t>N321 室內停車場-辦公、文教類室內停車場分區-地下一樓以上樓層停車區</t>
  </si>
  <si>
    <t>N322 室內停車場-辦公、文教類室內停車場分區-地下二樓以下樓層停車區</t>
  </si>
  <si>
    <t>N33 室內停車場-商場、百貨、量販店類室內停車場分區-不分樓層停車區</t>
  </si>
  <si>
    <t>N41 專用儲藏-單一或鄰接50m2以上無空調之雜物間、機械間、電氣設備間、器材室、維修平台</t>
  </si>
  <si>
    <t>N42 專用儲藏-單一或鄰接50m2以上無空調之貨品倉儲、書庫、檔案室</t>
  </si>
  <si>
    <t>N43 專用儲藏-單一或鄰接50m2以上有空調之貨品倉儲、書庫、檔案室</t>
  </si>
  <si>
    <t>餐廳全年營運日數</t>
    <phoneticPr fontId="7" type="noConversion"/>
  </si>
  <si>
    <t>全年營運時數</t>
    <phoneticPr fontId="7" type="noConversion"/>
  </si>
  <si>
    <t>全年溫水營運日數(選擇)</t>
    <phoneticPr fontId="7" type="noConversion"/>
  </si>
  <si>
    <t>是否有溫水(選擇)</t>
    <phoneticPr fontId="7" type="noConversion"/>
  </si>
  <si>
    <t>室內餐廳類型(選擇)</t>
    <phoneticPr fontId="7" type="noConversion"/>
  </si>
  <si>
    <t>熱水供應設備(選擇)</t>
    <phoneticPr fontId="7" type="noConversion"/>
  </si>
  <si>
    <t>分區類型</t>
    <phoneticPr fontId="7" type="noConversion"/>
  </si>
  <si>
    <t>SORi</t>
    <phoneticPr fontId="7" type="noConversion"/>
  </si>
  <si>
    <r>
      <t>營運率</t>
    </r>
    <r>
      <rPr>
        <sz val="12"/>
        <color theme="0"/>
        <rFont val="DFKaiShu-SB-Estd-BF"/>
      </rPr>
      <t>(</t>
    </r>
    <r>
      <rPr>
        <sz val="12"/>
        <color theme="0"/>
        <rFont val="DFKaiShu-SB-Estd-BF"/>
        <family val="2"/>
        <charset val="136"/>
      </rPr>
      <t>展覽、大會議廳、演藝廳</t>
    </r>
    <r>
      <rPr>
        <sz val="12"/>
        <color theme="0"/>
        <rFont val="DFKaiShu-SB-Estd-BF"/>
      </rPr>
      <t>)</t>
    </r>
    <phoneticPr fontId="7" type="noConversion"/>
  </si>
  <si>
    <t>展覽區(D1、D2、D3、E1)</t>
    <phoneticPr fontId="7" type="noConversion"/>
  </si>
  <si>
    <t>200人以上大會議室(F1)</t>
    <phoneticPr fontId="7" type="noConversion"/>
  </si>
  <si>
    <t>200人以下會議室(F2)</t>
    <phoneticPr fontId="7" type="noConversion"/>
  </si>
  <si>
    <t>國家級演藝廳(G1)</t>
    <phoneticPr fontId="7" type="noConversion"/>
  </si>
  <si>
    <t>一般級演藝廳(G2)</t>
    <phoneticPr fontId="7" type="noConversion"/>
  </si>
  <si>
    <t>註：以上午、下午、晚上三時段為節數計算單位。</t>
    <phoneticPr fontId="7" type="noConversion"/>
  </si>
  <si>
    <t>節/年 (上限273)</t>
    <phoneticPr fontId="7" type="noConversion"/>
  </si>
  <si>
    <t>節/年 (上限208)</t>
    <phoneticPr fontId="7" type="noConversion"/>
  </si>
  <si>
    <t>節/年 (上限156)</t>
    <phoneticPr fontId="7" type="noConversion"/>
  </si>
  <si>
    <t>年度(選擇)</t>
    <phoneticPr fontId="7" type="noConversion"/>
  </si>
  <si>
    <t>評估分區總面積 Afe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</si>
</sst>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76" formatCode="0.0"/>
    <numFmt numFmtId="178" formatCode="_(* #,##0.0_);_(* \(#,##0.0\);_(* &quot;-&quot;??_);_(@_)"/>
    <numFmt numFmtId="179" formatCode="_(* #,##0_);_(* \(#,##0\);_(* &quot;-&quot;??_);_(@_)"/>
  </numFmts>
  <fonts count="56">
    <font>
      <sz val="12"/>
      <color theme="1"/>
      <name val="DFKaiShu-SB-Estd-BF"/>
      <family val="2"/>
      <charset val="136"/>
    </font>
    <font>
      <sz val="12"/>
      <color theme="1"/>
      <name val="DFKaiShu-SB-Estd-BF"/>
      <family val="2"/>
      <charset val="136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標楷體"/>
      <charset val="136"/>
    </font>
    <font>
      <sz val="12"/>
      <color theme="1"/>
      <name val="標楷體"/>
      <charset val="136"/>
    </font>
    <font>
      <vertAlign val="superscript"/>
      <sz val="12"/>
      <color theme="1"/>
      <name val="標楷體"/>
      <charset val="136"/>
    </font>
    <font>
      <sz val="9"/>
      <name val="DFKaiShu-SB-Estd-BF"/>
      <family val="2"/>
      <charset val="136"/>
    </font>
    <font>
      <sz val="12"/>
      <color rgb="FF000000"/>
      <name val="標楷體"/>
      <charset val="136"/>
    </font>
    <font>
      <vertAlign val="subscript"/>
      <sz val="12"/>
      <color theme="1"/>
      <name val="標楷體"/>
      <charset val="136"/>
    </font>
    <font>
      <sz val="10"/>
      <color theme="1"/>
      <name val="標楷體"/>
      <charset val="136"/>
    </font>
    <font>
      <vertAlign val="subscript"/>
      <sz val="12"/>
      <color theme="1"/>
      <name val="Times New Roman"/>
      <family val="1"/>
    </font>
    <font>
      <b/>
      <vertAlign val="superscript"/>
      <sz val="12"/>
      <color theme="1"/>
      <name val="Times New Roman"/>
      <family val="1"/>
    </font>
    <font>
      <b/>
      <vertAlign val="subscript"/>
      <sz val="12"/>
      <color theme="1"/>
      <name val="Times New Roman"/>
      <family val="1"/>
    </font>
    <font>
      <sz val="10"/>
      <color rgb="FF000000"/>
      <name val="標楷體"/>
      <charset val="136"/>
    </font>
    <font>
      <sz val="12"/>
      <color theme="1"/>
      <name val="PMingLiU"/>
      <family val="1"/>
      <charset val="136"/>
    </font>
    <font>
      <sz val="12"/>
      <color rgb="FF0000FF"/>
      <name val="Arial"/>
      <family val="2"/>
    </font>
    <font>
      <sz val="12"/>
      <color theme="1"/>
      <name val="Arial"/>
      <family val="2"/>
    </font>
    <font>
      <sz val="12"/>
      <name val="PMingLiU"/>
      <family val="1"/>
      <charset val="136"/>
    </font>
    <font>
      <sz val="12"/>
      <name val="DFKaiShu-SB-Estd-BF"/>
      <family val="2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SimSun"/>
      <charset val="134"/>
    </font>
    <font>
      <sz val="12"/>
      <color theme="1"/>
      <name val="新細明體"/>
      <family val="1"/>
      <charset val="136"/>
    </font>
    <font>
      <sz val="12"/>
      <color theme="1"/>
      <name val="Helvetica"/>
      <family val="2"/>
    </font>
    <font>
      <sz val="12"/>
      <color theme="1"/>
      <name val="Cambria"/>
      <family val="1"/>
    </font>
    <font>
      <sz val="12"/>
      <color theme="1"/>
      <name val="DFKaiShu-SB-Estd-BF"/>
      <family val="1"/>
      <charset val="136"/>
    </font>
    <font>
      <sz val="12"/>
      <color theme="1"/>
      <name val="源樣黑體 R"/>
      <family val="3"/>
      <charset val="136"/>
    </font>
    <font>
      <sz val="12"/>
      <color theme="1"/>
      <name val="DFKaiShu-SB-Estd-BF"/>
      <family val="1"/>
    </font>
    <font>
      <b/>
      <sz val="12"/>
      <color theme="0"/>
      <name val="DFKaiShu-SB-Estd-BF"/>
      <family val="2"/>
      <charset val="136"/>
    </font>
    <font>
      <sz val="12"/>
      <color rgb="FF000000"/>
      <name val="DFKaiShu-SB-Estd-BF"/>
    </font>
    <font>
      <sz val="12"/>
      <color theme="1"/>
      <name val="PMingLiU"/>
      <family val="2"/>
      <charset val="136"/>
    </font>
    <font>
      <b/>
      <sz val="12"/>
      <color theme="0"/>
      <name val="DFKaiShu-SB-Estd-BF"/>
    </font>
    <font>
      <sz val="12"/>
      <color rgb="FFFF0000"/>
      <name val="標楷體"/>
      <charset val="136"/>
    </font>
    <font>
      <b/>
      <sz val="12"/>
      <color theme="0"/>
      <name val="Times New Roman"/>
      <family val="1"/>
    </font>
    <font>
      <b/>
      <sz val="12"/>
      <color theme="0"/>
      <name val="標楷體"/>
      <charset val="136"/>
    </font>
    <font>
      <b/>
      <sz val="12"/>
      <color rgb="FFBFBFBF"/>
      <name val="Times New Roman"/>
      <family val="1"/>
    </font>
    <font>
      <b/>
      <sz val="7"/>
      <color theme="1"/>
      <name val="Times New Roman"/>
      <family val="1"/>
    </font>
    <font>
      <b/>
      <sz val="12"/>
      <color theme="1"/>
      <name val="PMingLiU"/>
      <family val="1"/>
      <charset val="136"/>
    </font>
    <font>
      <b/>
      <sz val="9"/>
      <color theme="1"/>
      <name val="Times New Roman"/>
      <family val="1"/>
    </font>
    <font>
      <b/>
      <sz val="12"/>
      <name val="Times New Roman"/>
      <family val="1"/>
    </font>
    <font>
      <sz val="14"/>
      <color theme="0"/>
      <name val="Times New Roman"/>
      <family val="1"/>
    </font>
    <font>
      <sz val="14"/>
      <color theme="1"/>
      <name val="Times New Roman"/>
      <family val="1"/>
    </font>
    <font>
      <sz val="14"/>
      <color theme="1"/>
      <name val="標楷體"/>
      <charset val="136"/>
    </font>
    <font>
      <vertAlign val="superscript"/>
      <sz val="14"/>
      <color theme="1"/>
      <name val="Times New Roman"/>
      <family val="1"/>
    </font>
    <font>
      <vertAlign val="subscript"/>
      <sz val="14"/>
      <color theme="1"/>
      <name val="Times New Roman"/>
      <family val="1"/>
    </font>
    <font>
      <sz val="11"/>
      <color theme="1"/>
      <name val="PMingLiU"/>
      <family val="1"/>
      <charset val="136"/>
    </font>
    <font>
      <sz val="11"/>
      <color theme="1"/>
      <name val="TimesNewRomanPSMT"/>
    </font>
    <font>
      <sz val="12"/>
      <color rgb="FFFF0000"/>
      <name val="DFKaiShu-SB-Estd-BF"/>
      <family val="2"/>
      <charset val="136"/>
    </font>
    <font>
      <b/>
      <sz val="12"/>
      <color theme="1"/>
      <name val="DFKaiShu-SB-Estd-BF"/>
      <family val="2"/>
      <charset val="136"/>
    </font>
    <font>
      <sz val="12"/>
      <color theme="0"/>
      <name val="DFKaiShu-SB-Estd-BF"/>
      <family val="2"/>
      <charset val="136"/>
    </font>
    <font>
      <sz val="12"/>
      <color theme="0"/>
      <name val="DFKaiShu-SB-Estd-BF"/>
    </font>
    <font>
      <sz val="12"/>
      <color theme="1"/>
      <name val="DFKaiShu-SB-Estd-BF"/>
    </font>
    <font>
      <b/>
      <sz val="12"/>
      <color theme="1"/>
      <name val="Times New Roman"/>
      <family val="1"/>
      <charset val="136"/>
    </font>
    <font>
      <b/>
      <sz val="12"/>
      <color rgb="FFFF0000"/>
      <name val="標楷體"/>
      <charset val="136"/>
    </font>
    <font>
      <sz val="14"/>
      <color theme="0"/>
      <name val="PMingLiU"/>
      <family val="1"/>
      <charset val="136"/>
    </font>
    <font>
      <sz val="12"/>
      <color theme="1"/>
      <name val="PMingLiU"/>
      <family val="1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27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8" fillId="0" borderId="14" xfId="0" applyFont="1" applyBorder="1" applyAlignment="1">
      <alignment vertical="center" wrapText="1"/>
    </xf>
    <xf numFmtId="0" fontId="0" fillId="0" borderId="14" xfId="0" applyBorder="1">
      <alignment vertical="center"/>
    </xf>
    <xf numFmtId="0" fontId="5" fillId="0" borderId="14" xfId="0" applyFont="1" applyBorder="1" applyAlignment="1">
      <alignment vertical="center" wrapText="1"/>
    </xf>
    <xf numFmtId="0" fontId="0" fillId="3" borderId="14" xfId="0" applyFill="1" applyBorder="1">
      <alignment vertical="center"/>
    </xf>
    <xf numFmtId="0" fontId="19" fillId="0" borderId="0" xfId="0" applyFont="1">
      <alignment vertical="center"/>
    </xf>
    <xf numFmtId="0" fontId="17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justify" vertical="center" wrapText="1"/>
    </xf>
    <xf numFmtId="0" fontId="5" fillId="5" borderId="14" xfId="0" applyFont="1" applyFill="1" applyBorder="1" applyAlignment="1">
      <alignment horizontal="right" vertical="center" wrapText="1"/>
    </xf>
    <xf numFmtId="0" fontId="21" fillId="5" borderId="14" xfId="0" applyFont="1" applyFill="1" applyBorder="1" applyAlignment="1">
      <alignment horizontal="right" vertical="center" wrapText="1"/>
    </xf>
    <xf numFmtId="0" fontId="22" fillId="5" borderId="14" xfId="0" applyFont="1" applyFill="1" applyBorder="1" applyAlignment="1">
      <alignment horizontal="right" vertical="center" wrapText="1"/>
    </xf>
    <xf numFmtId="0" fontId="8" fillId="5" borderId="14" xfId="0" applyFont="1" applyFill="1" applyBorder="1" applyAlignment="1">
      <alignment horizontal="right" vertical="center" wrapText="1"/>
    </xf>
    <xf numFmtId="0" fontId="10" fillId="2" borderId="19" xfId="0" applyFont="1" applyFill="1" applyBorder="1" applyAlignment="1">
      <alignment horizontal="center" vertical="center" wrapText="1"/>
    </xf>
    <xf numFmtId="3" fontId="10" fillId="0" borderId="19" xfId="0" applyNumberFormat="1" applyFont="1" applyBorder="1" applyAlignment="1">
      <alignment horizontal="right" vertical="center" wrapText="1"/>
    </xf>
    <xf numFmtId="0" fontId="14" fillId="4" borderId="19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23" fillId="2" borderId="14" xfId="0" applyFont="1" applyFill="1" applyBorder="1" applyAlignment="1">
      <alignment horizontal="center" vertical="center" wrapText="1"/>
    </xf>
    <xf numFmtId="2" fontId="0" fillId="2" borderId="14" xfId="0" applyNumberForma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26" fillId="0" borderId="14" xfId="0" applyFont="1" applyBorder="1" applyAlignment="1">
      <alignment horizontal="left" vertical="center"/>
    </xf>
    <xf numFmtId="2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25" fillId="0" borderId="14" xfId="0" applyFont="1" applyBorder="1" applyAlignment="1">
      <alignment horizontal="left" vertical="center"/>
    </xf>
    <xf numFmtId="0" fontId="23" fillId="0" borderId="14" xfId="0" applyFont="1" applyBorder="1" applyAlignment="1">
      <alignment horizontal="left" vertical="center"/>
    </xf>
    <xf numFmtId="0" fontId="24" fillId="0" borderId="14" xfId="0" applyFont="1" applyBorder="1" applyAlignment="1">
      <alignment horizontal="left" vertical="center"/>
    </xf>
    <xf numFmtId="0" fontId="27" fillId="0" borderId="14" xfId="0" applyFont="1" applyBorder="1" applyAlignment="1">
      <alignment horizontal="left" vertical="center"/>
    </xf>
    <xf numFmtId="2" fontId="0" fillId="0" borderId="14" xfId="0" applyNumberFormat="1" applyBorder="1">
      <alignment vertical="center"/>
    </xf>
    <xf numFmtId="0" fontId="23" fillId="0" borderId="14" xfId="0" applyFont="1" applyBorder="1">
      <alignment vertical="center"/>
    </xf>
    <xf numFmtId="0" fontId="25" fillId="0" borderId="14" xfId="0" applyFont="1" applyBorder="1">
      <alignment vertical="center"/>
    </xf>
    <xf numFmtId="3" fontId="10" fillId="2" borderId="19" xfId="0" applyNumberFormat="1" applyFont="1" applyFill="1" applyBorder="1" applyAlignment="1">
      <alignment horizontal="right" vertical="center" wrapText="1"/>
    </xf>
    <xf numFmtId="10" fontId="14" fillId="2" borderId="19" xfId="1" applyNumberFormat="1" applyFont="1" applyFill="1" applyBorder="1" applyAlignment="1">
      <alignment horizontal="right" vertical="center" wrapText="1" indent="1"/>
    </xf>
    <xf numFmtId="1" fontId="10" fillId="0" borderId="19" xfId="0" applyNumberFormat="1" applyFont="1" applyBorder="1" applyAlignment="1">
      <alignment horizontal="right" vertical="center" wrapText="1"/>
    </xf>
    <xf numFmtId="1" fontId="10" fillId="2" borderId="19" xfId="0" applyNumberFormat="1" applyFont="1" applyFill="1" applyBorder="1" applyAlignment="1">
      <alignment horizontal="right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right" vertical="center" wrapText="1"/>
    </xf>
    <xf numFmtId="0" fontId="3" fillId="2" borderId="12" xfId="0" applyFont="1" applyFill="1" applyBorder="1" applyAlignment="1">
      <alignment vertical="center" wrapText="1"/>
    </xf>
    <xf numFmtId="2" fontId="3" fillId="0" borderId="1" xfId="0" applyNumberFormat="1" applyFont="1" applyBorder="1" applyAlignment="1">
      <alignment horizontal="right" vertical="center" wrapText="1"/>
    </xf>
    <xf numFmtId="2" fontId="3" fillId="0" borderId="1" xfId="2" applyNumberFormat="1" applyFont="1" applyBorder="1" applyAlignment="1">
      <alignment horizontal="right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45" xfId="0" applyFont="1" applyBorder="1" applyAlignment="1">
      <alignment horizontal="right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44" xfId="0" applyFont="1" applyBorder="1" applyAlignment="1">
      <alignment horizontal="center" vertical="center" wrapText="1"/>
    </xf>
    <xf numFmtId="0" fontId="38" fillId="0" borderId="44" xfId="0" applyFont="1" applyBorder="1" applyAlignment="1">
      <alignment horizontal="left" vertical="center" wrapText="1"/>
    </xf>
    <xf numFmtId="2" fontId="3" fillId="0" borderId="44" xfId="0" applyNumberFormat="1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2" fontId="3" fillId="0" borderId="44" xfId="0" applyNumberFormat="1" applyFont="1" applyBorder="1" applyAlignment="1">
      <alignment horizontal="righ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41" fillId="0" borderId="0" xfId="0" applyFont="1">
      <alignment vertical="center"/>
    </xf>
    <xf numFmtId="0" fontId="41" fillId="2" borderId="3" xfId="0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1" fillId="2" borderId="12" xfId="0" applyFont="1" applyFill="1" applyBorder="1" applyAlignment="1">
      <alignment vertical="center" wrapText="1"/>
    </xf>
    <xf numFmtId="0" fontId="41" fillId="2" borderId="1" xfId="0" applyFont="1" applyFill="1" applyBorder="1" applyAlignment="1">
      <alignment horizontal="right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45" fillId="0" borderId="0" xfId="0" applyFont="1">
      <alignment vertical="center"/>
    </xf>
    <xf numFmtId="0" fontId="45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2" borderId="14" xfId="0" applyFill="1" applyBorder="1">
      <alignment vertical="center"/>
    </xf>
    <xf numFmtId="0" fontId="0" fillId="2" borderId="39" xfId="0" applyFill="1" applyBorder="1">
      <alignment vertical="center"/>
    </xf>
    <xf numFmtId="2" fontId="3" fillId="0" borderId="0" xfId="0" applyNumberFormat="1" applyFont="1">
      <alignment vertical="center"/>
    </xf>
    <xf numFmtId="1" fontId="3" fillId="0" borderId="0" xfId="0" applyNumberFormat="1" applyFont="1">
      <alignment vertical="center"/>
    </xf>
    <xf numFmtId="176" fontId="3" fillId="0" borderId="1" xfId="0" applyNumberFormat="1" applyFont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2" borderId="14" xfId="0" applyFill="1" applyBorder="1" applyAlignment="1">
      <alignment horizontal="center" vertical="center"/>
    </xf>
    <xf numFmtId="0" fontId="3" fillId="0" borderId="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51" fillId="2" borderId="14" xfId="0" applyFont="1" applyFill="1" applyBorder="1" applyAlignment="1">
      <alignment horizontal="center" vertical="center"/>
    </xf>
    <xf numFmtId="0" fontId="0" fillId="2" borderId="32" xfId="0" applyFill="1" applyBorder="1" applyAlignment="1">
      <alignment horizontal="left" vertical="center"/>
    </xf>
    <xf numFmtId="0" fontId="0" fillId="0" borderId="38" xfId="0" applyBorder="1">
      <alignment vertical="center"/>
    </xf>
    <xf numFmtId="0" fontId="0" fillId="0" borderId="41" xfId="0" applyBorder="1">
      <alignment vertical="center"/>
    </xf>
    <xf numFmtId="0" fontId="0" fillId="0" borderId="15" xfId="0" applyBorder="1">
      <alignment vertical="center"/>
    </xf>
    <xf numFmtId="0" fontId="0" fillId="2" borderId="46" xfId="0" applyFill="1" applyBorder="1" applyAlignment="1">
      <alignment horizontal="left" vertical="center"/>
    </xf>
    <xf numFmtId="0" fontId="52" fillId="2" borderId="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right" vertical="center"/>
    </xf>
    <xf numFmtId="0" fontId="38" fillId="0" borderId="12" xfId="0" applyFont="1" applyBorder="1" applyAlignment="1">
      <alignment horizontal="left" vertical="center" wrapText="1"/>
    </xf>
    <xf numFmtId="2" fontId="3" fillId="0" borderId="5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78" fontId="47" fillId="0" borderId="14" xfId="2" applyNumberFormat="1" applyFont="1" applyBorder="1">
      <alignment vertical="center"/>
    </xf>
    <xf numFmtId="178" fontId="47" fillId="0" borderId="14" xfId="2" applyNumberFormat="1" applyFont="1" applyBorder="1" applyAlignment="1">
      <alignment horizontal="right" vertical="center"/>
    </xf>
    <xf numFmtId="0" fontId="53" fillId="0" borderId="14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178" fontId="47" fillId="0" borderId="14" xfId="2" applyNumberFormat="1" applyFont="1" applyBorder="1" applyAlignment="1">
      <alignment horizontal="center" vertical="center"/>
    </xf>
    <xf numFmtId="0" fontId="41" fillId="0" borderId="44" xfId="0" applyFont="1" applyBorder="1" applyAlignment="1">
      <alignment horizontal="center" vertical="center" wrapText="1"/>
    </xf>
    <xf numFmtId="179" fontId="41" fillId="0" borderId="44" xfId="2" applyNumberFormat="1" applyFont="1" applyBorder="1" applyAlignment="1">
      <alignment vertical="center" wrapText="1"/>
    </xf>
    <xf numFmtId="179" fontId="41" fillId="0" borderId="1" xfId="0" applyNumberFormat="1" applyFont="1" applyBorder="1" applyAlignment="1">
      <alignment horizontal="right" vertical="center" wrapText="1"/>
    </xf>
    <xf numFmtId="0" fontId="3" fillId="0" borderId="11" xfId="0" applyFont="1" applyBorder="1" applyAlignment="1">
      <alignment vertical="center" wrapText="1"/>
    </xf>
    <xf numFmtId="2" fontId="39" fillId="0" borderId="11" xfId="0" applyNumberFormat="1" applyFont="1" applyBorder="1" applyAlignment="1">
      <alignment vertical="center" wrapText="1"/>
    </xf>
    <xf numFmtId="0" fontId="35" fillId="0" borderId="9" xfId="0" applyFont="1" applyBorder="1" applyAlignment="1">
      <alignment vertical="center" wrapText="1"/>
    </xf>
    <xf numFmtId="176" fontId="0" fillId="0" borderId="0" xfId="0" applyNumberFormat="1" applyAlignment="1">
      <alignment horizontal="right" vertical="center"/>
    </xf>
    <xf numFmtId="0" fontId="45" fillId="0" borderId="14" xfId="0" applyFont="1" applyBorder="1">
      <alignment vertical="center"/>
    </xf>
    <xf numFmtId="0" fontId="0" fillId="0" borderId="35" xfId="0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9" fillId="6" borderId="14" xfId="0" applyFont="1" applyFill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49" fillId="6" borderId="34" xfId="0" applyFont="1" applyFill="1" applyBorder="1" applyAlignment="1">
      <alignment horizontal="center" vertical="center"/>
    </xf>
    <xf numFmtId="0" fontId="49" fillId="6" borderId="33" xfId="0" applyFont="1" applyFill="1" applyBorder="1" applyAlignment="1">
      <alignment horizontal="center" vertical="center"/>
    </xf>
    <xf numFmtId="0" fontId="49" fillId="6" borderId="35" xfId="0" applyFont="1" applyFill="1" applyBorder="1" applyAlignment="1">
      <alignment horizontal="center" vertical="center"/>
    </xf>
    <xf numFmtId="0" fontId="49" fillId="6" borderId="40" xfId="0" applyFont="1" applyFill="1" applyBorder="1" applyAlignment="1">
      <alignment horizontal="center" vertical="center"/>
    </xf>
    <xf numFmtId="0" fontId="49" fillId="6" borderId="43" xfId="0" applyFont="1" applyFill="1" applyBorder="1" applyAlignment="1">
      <alignment horizontal="center" vertical="center"/>
    </xf>
    <xf numFmtId="0" fontId="50" fillId="6" borderId="14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50" fillId="6" borderId="0" xfId="0" applyFont="1" applyFill="1" applyAlignment="1">
      <alignment horizontal="center" vertical="center"/>
    </xf>
    <xf numFmtId="0" fontId="0" fillId="0" borderId="14" xfId="0" applyBorder="1" applyAlignment="1">
      <alignment horizontal="left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178" fontId="47" fillId="0" borderId="34" xfId="2" applyNumberFormat="1" applyFont="1" applyBorder="1" applyAlignment="1">
      <alignment horizontal="center" vertical="center"/>
    </xf>
    <xf numFmtId="178" fontId="47" fillId="0" borderId="35" xfId="2" applyNumberFormat="1" applyFont="1" applyBorder="1" applyAlignment="1">
      <alignment horizontal="center" vertical="center"/>
    </xf>
    <xf numFmtId="0" fontId="5" fillId="2" borderId="34" xfId="0" applyFont="1" applyFill="1" applyBorder="1" applyAlignment="1">
      <alignment horizontal="left" vertical="center" wrapText="1"/>
    </xf>
    <xf numFmtId="0" fontId="5" fillId="2" borderId="33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5" borderId="32" xfId="0" applyFont="1" applyFill="1" applyBorder="1" applyAlignment="1">
      <alignment horizontal="center" vertical="center" wrapText="1"/>
    </xf>
    <xf numFmtId="0" fontId="5" fillId="5" borderId="36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vertical="center" wrapText="1"/>
    </xf>
    <xf numFmtId="0" fontId="5" fillId="5" borderId="34" xfId="0" applyFont="1" applyFill="1" applyBorder="1" applyAlignment="1">
      <alignment horizontal="center" vertical="center" wrapText="1"/>
    </xf>
    <xf numFmtId="0" fontId="5" fillId="5" borderId="35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left" vertical="center" wrapText="1"/>
    </xf>
    <xf numFmtId="0" fontId="21" fillId="5" borderId="14" xfId="0" applyFont="1" applyFill="1" applyBorder="1" applyAlignment="1">
      <alignment horizontal="left" vertical="center" wrapText="1"/>
    </xf>
    <xf numFmtId="178" fontId="47" fillId="0" borderId="33" xfId="2" applyNumberFormat="1" applyFont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43" fontId="32" fillId="0" borderId="34" xfId="2" applyFont="1" applyBorder="1" applyAlignment="1">
      <alignment horizontal="right" vertical="center" wrapText="1"/>
    </xf>
    <xf numFmtId="43" fontId="32" fillId="0" borderId="33" xfId="2" applyFont="1" applyBorder="1" applyAlignment="1">
      <alignment horizontal="right" vertical="center" wrapText="1"/>
    </xf>
    <xf numFmtId="43" fontId="32" fillId="0" borderId="35" xfId="2" applyFont="1" applyBorder="1" applyAlignment="1">
      <alignment horizontal="right" vertical="center" wrapText="1"/>
    </xf>
    <xf numFmtId="43" fontId="32" fillId="0" borderId="14" xfId="2" applyFont="1" applyBorder="1" applyAlignment="1">
      <alignment horizontal="right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horizontal="left" vertical="center" wrapText="1"/>
    </xf>
    <xf numFmtId="0" fontId="31" fillId="6" borderId="5" xfId="0" applyFont="1" applyFill="1" applyBorder="1" applyAlignment="1">
      <alignment horizontal="center" vertical="center"/>
    </xf>
    <xf numFmtId="0" fontId="31" fillId="6" borderId="6" xfId="0" applyFont="1" applyFill="1" applyBorder="1" applyAlignment="1">
      <alignment horizontal="center" vertical="center"/>
    </xf>
    <xf numFmtId="0" fontId="31" fillId="6" borderId="7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vertical="center" wrapText="1"/>
    </xf>
    <xf numFmtId="0" fontId="10" fillId="4" borderId="24" xfId="0" applyFont="1" applyFill="1" applyBorder="1" applyAlignment="1">
      <alignment vertical="center" wrapText="1"/>
    </xf>
    <xf numFmtId="0" fontId="14" fillId="4" borderId="31" xfId="0" applyFont="1" applyFill="1" applyBorder="1" applyAlignment="1">
      <alignment horizontal="center" vertical="center" wrapText="1"/>
    </xf>
    <xf numFmtId="0" fontId="14" fillId="4" borderId="21" xfId="0" applyFont="1" applyFill="1" applyBorder="1" applyAlignment="1">
      <alignment horizontal="center" vertical="center" wrapText="1"/>
    </xf>
    <xf numFmtId="0" fontId="14" fillId="4" borderId="19" xfId="0" applyFont="1" applyFill="1" applyBorder="1" applyAlignment="1">
      <alignment horizontal="center" vertical="center" wrapText="1"/>
    </xf>
    <xf numFmtId="0" fontId="14" fillId="4" borderId="23" xfId="0" applyFont="1" applyFill="1" applyBorder="1" applyAlignment="1">
      <alignment horizontal="left" vertical="center" wrapText="1" indent="1"/>
    </xf>
    <xf numFmtId="0" fontId="14" fillId="4" borderId="24" xfId="0" applyFont="1" applyFill="1" applyBorder="1" applyAlignment="1">
      <alignment horizontal="left" vertical="center" wrapText="1" indent="1"/>
    </xf>
    <xf numFmtId="0" fontId="14" fillId="0" borderId="30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right" vertical="center" wrapText="1"/>
    </xf>
    <xf numFmtId="0" fontId="10" fillId="2" borderId="29" xfId="0" applyFont="1" applyFill="1" applyBorder="1" applyAlignment="1">
      <alignment horizontal="right" vertical="center" wrapText="1"/>
    </xf>
    <xf numFmtId="0" fontId="10" fillId="2" borderId="28" xfId="0" applyFont="1" applyFill="1" applyBorder="1" applyAlignment="1">
      <alignment horizontal="right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1" fontId="10" fillId="2" borderId="30" xfId="0" applyNumberFormat="1" applyFont="1" applyFill="1" applyBorder="1" applyAlignment="1">
      <alignment horizontal="right" vertical="center" wrapText="1"/>
    </xf>
    <xf numFmtId="1" fontId="10" fillId="2" borderId="29" xfId="0" applyNumberFormat="1" applyFont="1" applyFill="1" applyBorder="1" applyAlignment="1">
      <alignment horizontal="right" vertical="center" wrapText="1"/>
    </xf>
    <xf numFmtId="1" fontId="10" fillId="2" borderId="28" xfId="0" applyNumberFormat="1" applyFont="1" applyFill="1" applyBorder="1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0" fontId="55" fillId="2" borderId="11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2" fontId="3" fillId="0" borderId="8" xfId="0" applyNumberFormat="1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47" xfId="0" applyFont="1" applyFill="1" applyBorder="1" applyAlignment="1">
      <alignment horizontal="center" vertical="center" wrapText="1"/>
    </xf>
    <xf numFmtId="0" fontId="3" fillId="2" borderId="48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4" fillId="6" borderId="5" xfId="0" applyFont="1" applyFill="1" applyBorder="1" applyAlignment="1">
      <alignment horizontal="center" vertical="center" wrapText="1"/>
    </xf>
    <xf numFmtId="0" fontId="33" fillId="6" borderId="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left" vertical="center" wrapText="1"/>
    </xf>
    <xf numFmtId="0" fontId="3" fillId="2" borderId="7" xfId="0" applyFont="1" applyFill="1" applyBorder="1" applyAlignment="1">
      <alignment horizontal="left" vertical="center" wrapText="1"/>
    </xf>
    <xf numFmtId="179" fontId="41" fillId="0" borderId="8" xfId="2" applyNumberFormat="1" applyFont="1" applyBorder="1" applyAlignment="1">
      <alignment vertical="center" wrapText="1"/>
    </xf>
    <xf numFmtId="179" fontId="41" fillId="0" borderId="10" xfId="2" applyNumberFormat="1" applyFont="1" applyBorder="1" applyAlignment="1">
      <alignment vertical="center" wrapText="1"/>
    </xf>
    <xf numFmtId="0" fontId="41" fillId="2" borderId="5" xfId="0" applyFont="1" applyFill="1" applyBorder="1" applyAlignment="1">
      <alignment vertical="center" wrapText="1"/>
    </xf>
    <xf numFmtId="0" fontId="41" fillId="2" borderId="7" xfId="0" applyFont="1" applyFill="1" applyBorder="1" applyAlignment="1">
      <alignment vertical="center" wrapText="1"/>
    </xf>
    <xf numFmtId="179" fontId="41" fillId="0" borderId="5" xfId="2" applyNumberFormat="1" applyFont="1" applyBorder="1" applyAlignment="1">
      <alignment vertical="center" wrapText="1"/>
    </xf>
    <xf numFmtId="179" fontId="41" fillId="0" borderId="7" xfId="2" applyNumberFormat="1" applyFont="1" applyBorder="1" applyAlignment="1">
      <alignment vertical="center" wrapText="1"/>
    </xf>
    <xf numFmtId="0" fontId="41" fillId="2" borderId="1" xfId="0" applyFont="1" applyFill="1" applyBorder="1" applyAlignment="1">
      <alignment vertical="center" wrapText="1"/>
    </xf>
    <xf numFmtId="0" fontId="54" fillId="6" borderId="5" xfId="0" applyFont="1" applyFill="1" applyBorder="1" applyAlignment="1">
      <alignment horizontal="justify" vertical="center" wrapText="1"/>
    </xf>
    <xf numFmtId="0" fontId="40" fillId="6" borderId="6" xfId="0" applyFont="1" applyFill="1" applyBorder="1" applyAlignment="1">
      <alignment horizontal="justify" vertical="center" wrapText="1"/>
    </xf>
    <xf numFmtId="0" fontId="40" fillId="6" borderId="7" xfId="0" applyFont="1" applyFill="1" applyBorder="1" applyAlignment="1">
      <alignment horizontal="justify" vertical="center" wrapText="1"/>
    </xf>
    <xf numFmtId="0" fontId="41" fillId="2" borderId="11" xfId="0" applyFont="1" applyFill="1" applyBorder="1" applyAlignment="1">
      <alignment horizontal="center" vertical="center" wrapText="1"/>
    </xf>
    <xf numFmtId="0" fontId="41" fillId="2" borderId="12" xfId="0" applyFont="1" applyFill="1" applyBorder="1" applyAlignment="1">
      <alignment horizontal="center" vertical="center" wrapText="1"/>
    </xf>
    <xf numFmtId="0" fontId="41" fillId="2" borderId="8" xfId="0" applyFont="1" applyFill="1" applyBorder="1" applyAlignment="1">
      <alignment horizontal="center" vertical="center" wrapText="1"/>
    </xf>
    <xf numFmtId="0" fontId="41" fillId="2" borderId="10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23" fillId="2" borderId="14" xfId="0" applyFont="1" applyFill="1" applyBorder="1" applyAlignment="1">
      <alignment horizontal="left" vertical="center"/>
    </xf>
    <xf numFmtId="2" fontId="0" fillId="2" borderId="14" xfId="0" applyNumberForma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 vertical="center" wrapText="1"/>
    </xf>
    <xf numFmtId="0" fontId="23" fillId="2" borderId="37" xfId="0" applyFont="1" applyFill="1" applyBorder="1" applyAlignment="1">
      <alignment horizontal="center" vertical="center" wrapText="1"/>
    </xf>
    <xf numFmtId="0" fontId="23" fillId="2" borderId="42" xfId="0" applyFont="1" applyFill="1" applyBorder="1" applyAlignment="1">
      <alignment horizontal="center" vertical="center" wrapText="1"/>
    </xf>
    <xf numFmtId="0" fontId="23" fillId="2" borderId="38" xfId="0" applyFont="1" applyFill="1" applyBorder="1" applyAlignment="1">
      <alignment horizontal="center" vertical="center" wrapText="1"/>
    </xf>
    <xf numFmtId="0" fontId="23" fillId="2" borderId="39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23" fillId="2" borderId="15" xfId="0" applyFont="1" applyFill="1" applyBorder="1" applyAlignment="1">
      <alignment horizontal="center" vertical="center" wrapText="1"/>
    </xf>
    <xf numFmtId="0" fontId="23" fillId="2" borderId="40" xfId="0" applyFont="1" applyFill="1" applyBorder="1" applyAlignment="1">
      <alignment horizontal="center" vertical="center" wrapText="1"/>
    </xf>
    <xf numFmtId="0" fontId="23" fillId="2" borderId="43" xfId="0" applyFont="1" applyFill="1" applyBorder="1" applyAlignment="1">
      <alignment horizontal="center" vertical="center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4" xfId="0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78" fontId="0" fillId="0" borderId="0" xfId="2" applyNumberFormat="1" applyFont="1">
      <alignment vertical="center"/>
    </xf>
    <xf numFmtId="178" fontId="0" fillId="7" borderId="0" xfId="2" applyNumberFormat="1" applyFont="1" applyFill="1">
      <alignment vertical="center"/>
    </xf>
    <xf numFmtId="178" fontId="0" fillId="0" borderId="0" xfId="2" applyNumberFormat="1" applyFont="1" applyFill="1">
      <alignment vertical="center"/>
    </xf>
    <xf numFmtId="0" fontId="0" fillId="0" borderId="0" xfId="0" applyAlignment="1">
      <alignment vertical="center"/>
    </xf>
    <xf numFmtId="2" fontId="29" fillId="0" borderId="14" xfId="0" applyNumberFormat="1" applyFont="1" applyBorder="1" applyAlignment="1">
      <alignment horizontal="center" vertical="center"/>
    </xf>
    <xf numFmtId="2" fontId="0" fillId="0" borderId="14" xfId="0" quotePrefix="1" applyNumberForma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42" xfId="0" applyBorder="1" applyAlignment="1">
      <alignment horizontal="right" vertical="center"/>
    </xf>
    <xf numFmtId="176" fontId="19" fillId="0" borderId="0" xfId="0" applyNumberFormat="1" applyFont="1">
      <alignment vertical="center"/>
    </xf>
    <xf numFmtId="0" fontId="0" fillId="2" borderId="37" xfId="0" applyFill="1" applyBorder="1" applyAlignment="1">
      <alignment horizontal="left" vertical="center"/>
    </xf>
    <xf numFmtId="0" fontId="0" fillId="2" borderId="40" xfId="0" applyFill="1" applyBorder="1" applyAlignment="1">
      <alignment horizontal="left" vertical="center"/>
    </xf>
    <xf numFmtId="0" fontId="0" fillId="2" borderId="39" xfId="0" applyFill="1" applyBorder="1" applyAlignment="1">
      <alignment horizontal="left" vertical="center"/>
    </xf>
    <xf numFmtId="0" fontId="0" fillId="2" borderId="34" xfId="0" applyFill="1" applyBorder="1">
      <alignment vertical="center"/>
    </xf>
    <xf numFmtId="0" fontId="0" fillId="0" borderId="37" xfId="0" applyBorder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0" fillId="0" borderId="40" xfId="0" applyBorder="1" applyAlignment="1">
      <alignment horizontal="right" vertical="center"/>
    </xf>
    <xf numFmtId="0" fontId="0" fillId="0" borderId="42" xfId="0" applyBorder="1" applyAlignment="1">
      <alignment vertical="center"/>
    </xf>
    <xf numFmtId="0" fontId="0" fillId="0" borderId="14" xfId="0" applyBorder="1" applyAlignment="1">
      <alignment horizontal="left" vertical="center"/>
    </xf>
    <xf numFmtId="2" fontId="3" fillId="0" borderId="49" xfId="0" applyNumberFormat="1" applyFont="1" applyBorder="1" applyAlignment="1">
      <alignment horizontal="right" vertical="center" wrapText="1"/>
    </xf>
    <xf numFmtId="178" fontId="0" fillId="0" borderId="0" xfId="0" applyNumberFormat="1">
      <alignment vertical="center"/>
    </xf>
    <xf numFmtId="178" fontId="32" fillId="0" borderId="14" xfId="0" applyNumberFormat="1" applyFont="1" applyBorder="1" applyAlignment="1">
      <alignment horizontal="right" vertical="center" wrapText="1"/>
    </xf>
  </cellXfs>
  <cellStyles count="3">
    <cellStyle name="一般" xfId="0" builtinId="0"/>
    <cellStyle name="千分位" xfId="2" builtinId="3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330200</xdr:colOff>
      <xdr:row>29</xdr:row>
      <xdr:rowOff>88900</xdr:rowOff>
    </xdr:from>
    <xdr:to>
      <xdr:col>6</xdr:col>
      <xdr:colOff>762000</xdr:colOff>
      <xdr:row>29</xdr:row>
      <xdr:rowOff>97510</xdr:rowOff>
    </xdr:to>
    <xdr:cxnSp macro="">
      <xdr:nvCxnSpPr>
        <xdr:cNvPr id="3" name="直線箭頭接點 2">
          <a:extLst>
            <a:ext uri="{FF2B5EF4-FFF2-40B4-BE49-F238E27FC236}">
              <a16:creationId xmlns:a16="http://schemas.microsoft.com/office/drawing/2014/main" id="{BE130B88-E9BD-E17C-2334-81C3F6D42034}"/>
            </a:ext>
          </a:extLst>
        </xdr:cNvPr>
        <xdr:cNvCxnSpPr/>
      </xdr:nvCxnSpPr>
      <xdr:spPr>
        <a:xfrm>
          <a:off x="1282700" y="5981700"/>
          <a:ext cx="5346700" cy="8610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787400</xdr:colOff>
      <xdr:row>25</xdr:row>
      <xdr:rowOff>114300</xdr:rowOff>
    </xdr:from>
    <xdr:to>
      <xdr:col>5</xdr:col>
      <xdr:colOff>698500</xdr:colOff>
      <xdr:row>28</xdr:row>
      <xdr:rowOff>177800</xdr:rowOff>
    </xdr:to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D95B6469-D317-3D00-2BC0-77BC1E92489F}"/>
            </a:ext>
          </a:extLst>
        </xdr:cNvPr>
        <xdr:cNvSpPr txBox="1"/>
      </xdr:nvSpPr>
      <xdr:spPr>
        <a:xfrm>
          <a:off x="2692400" y="5194300"/>
          <a:ext cx="2768600" cy="673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3600">
              <a:latin typeface="GenYoGothic TW R" panose="020B0500000000000000" pitchFamily="34" charset="-120"/>
              <a:ea typeface="GenYoGothic TW R" panose="020B0500000000000000" pitchFamily="34" charset="-120"/>
            </a:rPr>
            <a:t>請依序填表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97662-4A29-C14E-A1E9-B37BF51F9A51}">
  <sheetPr>
    <tabColor rgb="FFC00000"/>
  </sheetPr>
  <dimension ref="A1:C30"/>
  <sheetViews>
    <sheetView topLeftCell="A7" workbookViewId="0">
      <selection activeCell="C26" sqref="C26"/>
    </sheetView>
  </sheetViews>
  <sheetFormatPr baseColWidth="10" defaultRowHeight="16"/>
  <cols>
    <col min="2" max="2" width="3.42578125" customWidth="1"/>
    <col min="3" max="3" width="58" style="1" customWidth="1"/>
  </cols>
  <sheetData>
    <row r="1" spans="1:3">
      <c r="A1" s="3" t="s">
        <v>59</v>
      </c>
      <c r="B1" s="114" t="s">
        <v>1</v>
      </c>
      <c r="C1" s="114"/>
    </row>
    <row r="2" spans="1:3" ht="17">
      <c r="A2" s="115" t="s">
        <v>60</v>
      </c>
      <c r="C2" s="11" t="s">
        <v>91</v>
      </c>
    </row>
    <row r="3" spans="1:3">
      <c r="A3" s="115"/>
      <c r="C3" s="12" t="s">
        <v>90</v>
      </c>
    </row>
    <row r="4" spans="1:3" ht="17">
      <c r="A4" s="115"/>
      <c r="C4" s="11" t="s">
        <v>92</v>
      </c>
    </row>
    <row r="5" spans="1:3">
      <c r="A5" s="115" t="s">
        <v>61</v>
      </c>
      <c r="C5" s="13" t="s">
        <v>62</v>
      </c>
    </row>
    <row r="6" spans="1:3">
      <c r="A6" s="115"/>
      <c r="C6" s="13" t="s">
        <v>63</v>
      </c>
    </row>
    <row r="7" spans="1:3">
      <c r="A7" s="115"/>
      <c r="C7" s="13" t="s">
        <v>64</v>
      </c>
    </row>
    <row r="8" spans="1:3">
      <c r="A8" s="115"/>
      <c r="C8" s="13" t="s">
        <v>65</v>
      </c>
    </row>
    <row r="9" spans="1:3">
      <c r="A9" s="115"/>
      <c r="C9" s="13" t="s">
        <v>66</v>
      </c>
    </row>
    <row r="10" spans="1:3">
      <c r="A10" s="115"/>
      <c r="C10" s="13" t="s">
        <v>67</v>
      </c>
    </row>
    <row r="11" spans="1:3" ht="17">
      <c r="A11" s="115"/>
      <c r="C11" s="13" t="s">
        <v>68</v>
      </c>
    </row>
    <row r="12" spans="1:3" ht="17">
      <c r="A12" s="115"/>
      <c r="C12" s="13" t="s">
        <v>69</v>
      </c>
    </row>
    <row r="13" spans="1:3" ht="17">
      <c r="A13" s="115"/>
      <c r="C13" s="13" t="s">
        <v>70</v>
      </c>
    </row>
    <row r="14" spans="1:3" ht="17">
      <c r="A14" s="115"/>
      <c r="C14" s="13" t="s">
        <v>71</v>
      </c>
    </row>
    <row r="15" spans="1:3" ht="17">
      <c r="A15" s="115"/>
      <c r="C15" s="13" t="s">
        <v>72</v>
      </c>
    </row>
    <row r="16" spans="1:3" ht="17">
      <c r="A16" s="115"/>
      <c r="C16" s="13" t="s">
        <v>73</v>
      </c>
    </row>
    <row r="17" spans="1:3" ht="17">
      <c r="A17" s="115"/>
      <c r="C17" s="13" t="s">
        <v>74</v>
      </c>
    </row>
    <row r="18" spans="1:3" ht="17">
      <c r="A18" s="115"/>
      <c r="C18" s="13" t="s">
        <v>75</v>
      </c>
    </row>
    <row r="19" spans="1:3" ht="51">
      <c r="A19" s="115"/>
      <c r="C19" s="13" t="s">
        <v>76</v>
      </c>
    </row>
    <row r="20" spans="1:3" ht="32">
      <c r="A20" s="117" t="s">
        <v>88</v>
      </c>
      <c r="C20" s="13" t="s">
        <v>77</v>
      </c>
    </row>
    <row r="21" spans="1:3" ht="34">
      <c r="A21" s="117"/>
      <c r="C21" s="13" t="s">
        <v>78</v>
      </c>
    </row>
    <row r="22" spans="1:3" ht="17">
      <c r="A22" s="117"/>
      <c r="C22" s="13" t="s">
        <v>79</v>
      </c>
    </row>
    <row r="23" spans="1:3" ht="17">
      <c r="A23" s="117"/>
      <c r="C23" s="13" t="s">
        <v>80</v>
      </c>
    </row>
    <row r="24" spans="1:3">
      <c r="A24" s="117"/>
      <c r="C24" s="13" t="s">
        <v>81</v>
      </c>
    </row>
    <row r="25" spans="1:3">
      <c r="A25" s="116" t="s">
        <v>89</v>
      </c>
      <c r="B25" s="10"/>
      <c r="C25" s="14" t="s">
        <v>82</v>
      </c>
    </row>
    <row r="26" spans="1:3">
      <c r="A26" s="116"/>
      <c r="B26" s="10"/>
      <c r="C26" s="14" t="s">
        <v>83</v>
      </c>
    </row>
    <row r="27" spans="1:3">
      <c r="A27" s="116"/>
      <c r="B27" s="10"/>
      <c r="C27" s="14" t="s">
        <v>84</v>
      </c>
    </row>
    <row r="28" spans="1:3">
      <c r="A28" s="116"/>
      <c r="B28" s="10"/>
      <c r="C28" s="14" t="s">
        <v>85</v>
      </c>
    </row>
    <row r="29" spans="1:3">
      <c r="A29" s="116"/>
      <c r="B29" s="10"/>
      <c r="C29" s="14" t="s">
        <v>86</v>
      </c>
    </row>
    <row r="30" spans="1:3">
      <c r="A30" s="116"/>
      <c r="B30" s="10"/>
      <c r="C30" s="14" t="s">
        <v>87</v>
      </c>
    </row>
  </sheetData>
  <mergeCells count="5">
    <mergeCell ref="B1:C1"/>
    <mergeCell ref="A5:A19"/>
    <mergeCell ref="A25:A30"/>
    <mergeCell ref="A20:A24"/>
    <mergeCell ref="A2:A4"/>
  </mergeCells>
  <phoneticPr fontId="7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A9F8A-250E-D745-80E9-5666808C8330}">
  <dimension ref="A1:AF22"/>
  <sheetViews>
    <sheetView workbookViewId="0">
      <selection activeCell="K27" sqref="K27"/>
    </sheetView>
  </sheetViews>
  <sheetFormatPr baseColWidth="10" defaultRowHeight="16"/>
  <cols>
    <col min="6" max="6" width="12.42578125" customWidth="1"/>
    <col min="11" max="11" width="31.42578125" customWidth="1"/>
    <col min="13" max="13" width="17.85546875" customWidth="1"/>
    <col min="14" max="14" width="24.42578125" customWidth="1"/>
    <col min="16" max="16" width="14.140625" customWidth="1"/>
    <col min="17" max="17" width="15.28515625" customWidth="1"/>
    <col min="19" max="19" width="15.140625" customWidth="1"/>
    <col min="20" max="21" width="12.140625" customWidth="1"/>
    <col min="23" max="23" width="20" customWidth="1"/>
    <col min="24" max="24" width="14.85546875" customWidth="1"/>
    <col min="25" max="25" width="6.42578125" customWidth="1"/>
    <col min="27" max="27" width="14.140625" customWidth="1"/>
    <col min="28" max="28" width="15.5703125" customWidth="1"/>
    <col min="30" max="30" width="22.7109375" customWidth="1"/>
    <col min="31" max="31" width="9.85546875" customWidth="1"/>
    <col min="32" max="32" width="15.140625" customWidth="1"/>
  </cols>
  <sheetData>
    <row r="1" spans="1:32" ht="16" customHeight="1">
      <c r="A1" s="135" t="s">
        <v>821</v>
      </c>
      <c r="B1" s="138"/>
      <c r="C1" s="138"/>
      <c r="D1" s="138"/>
      <c r="F1" s="118" t="s">
        <v>835</v>
      </c>
      <c r="G1" s="133"/>
      <c r="H1" s="133"/>
      <c r="I1" s="133"/>
      <c r="K1" s="118" t="s">
        <v>988</v>
      </c>
      <c r="L1" s="133"/>
      <c r="M1" s="133"/>
      <c r="N1" s="133"/>
      <c r="P1" s="128" t="s">
        <v>994</v>
      </c>
      <c r="Q1" s="129"/>
      <c r="R1" s="129"/>
      <c r="S1" s="129"/>
      <c r="T1" s="129"/>
      <c r="U1" s="130"/>
      <c r="W1" s="135" t="s">
        <v>995</v>
      </c>
      <c r="X1" s="135"/>
      <c r="Y1" s="135"/>
      <c r="AA1" s="118" t="s">
        <v>1113</v>
      </c>
      <c r="AB1" s="118"/>
      <c r="AD1" s="118" t="s">
        <v>1177</v>
      </c>
      <c r="AE1" s="133"/>
      <c r="AF1" s="133"/>
    </row>
    <row r="2" spans="1:32" ht="16" customHeight="1">
      <c r="A2" s="86" t="s">
        <v>1187</v>
      </c>
      <c r="B2" s="34"/>
      <c r="C2" s="86" t="s">
        <v>1187</v>
      </c>
      <c r="D2" s="34"/>
      <c r="F2" s="80" t="s">
        <v>836</v>
      </c>
      <c r="G2" s="134"/>
      <c r="H2" s="134"/>
      <c r="I2" s="134"/>
      <c r="K2" s="86" t="s">
        <v>1127</v>
      </c>
      <c r="L2" s="89" t="s">
        <v>989</v>
      </c>
      <c r="M2" s="89" t="s">
        <v>1007</v>
      </c>
      <c r="N2" s="86" t="s">
        <v>1010</v>
      </c>
      <c r="P2" s="86" t="s">
        <v>1000</v>
      </c>
      <c r="Q2" s="86" t="s">
        <v>1001</v>
      </c>
      <c r="R2" s="86" t="s">
        <v>997</v>
      </c>
      <c r="S2" s="86" t="s">
        <v>998</v>
      </c>
      <c r="T2" s="86" t="s">
        <v>1002</v>
      </c>
      <c r="U2" s="86" t="s">
        <v>1122</v>
      </c>
      <c r="W2" s="90" t="s">
        <v>1003</v>
      </c>
      <c r="X2" s="257"/>
      <c r="Y2" s="113" t="s">
        <v>382</v>
      </c>
      <c r="AA2" s="80" t="s">
        <v>1117</v>
      </c>
      <c r="AB2" s="80" t="s">
        <v>1118</v>
      </c>
      <c r="AD2" s="7" t="s">
        <v>1178</v>
      </c>
      <c r="AE2" s="7">
        <v>100</v>
      </c>
      <c r="AF2" s="7" t="s">
        <v>1184</v>
      </c>
    </row>
    <row r="3" spans="1:32">
      <c r="A3" s="86" t="s">
        <v>822</v>
      </c>
      <c r="B3" s="34"/>
      <c r="C3" s="86" t="s">
        <v>822</v>
      </c>
      <c r="D3" s="34"/>
      <c r="F3" s="80" t="s">
        <v>837</v>
      </c>
      <c r="G3" s="134"/>
      <c r="H3" s="134"/>
      <c r="I3" s="134"/>
      <c r="K3" s="256" t="s">
        <v>1162</v>
      </c>
      <c r="L3" s="96">
        <v>132</v>
      </c>
      <c r="M3" s="34"/>
      <c r="N3" s="34" t="s">
        <v>1120</v>
      </c>
      <c r="P3" s="7"/>
      <c r="Q3" s="7"/>
      <c r="R3" s="7"/>
      <c r="S3" s="7"/>
      <c r="T3" s="7"/>
      <c r="U3" s="7">
        <f>R3*P3*Q3*0.05/860*IF(S3="變頻電力回收電梯",0.5,IF(S3="變頻電梯",0.7,1))*T3</f>
        <v>0</v>
      </c>
      <c r="W3" s="90" t="s">
        <v>993</v>
      </c>
      <c r="X3" s="258"/>
      <c r="Y3" s="93" t="s">
        <v>1006</v>
      </c>
      <c r="AA3" s="7"/>
      <c r="AB3" s="7"/>
      <c r="AD3" s="7" t="s">
        <v>1179</v>
      </c>
      <c r="AE3" s="7">
        <v>100</v>
      </c>
      <c r="AF3" s="7" t="s">
        <v>1185</v>
      </c>
    </row>
    <row r="4" spans="1:32">
      <c r="A4" s="86" t="s">
        <v>823</v>
      </c>
      <c r="B4" s="34"/>
      <c r="C4" s="86" t="s">
        <v>823</v>
      </c>
      <c r="D4" s="34"/>
      <c r="F4" s="80" t="s">
        <v>838</v>
      </c>
      <c r="G4" s="134"/>
      <c r="H4" s="134"/>
      <c r="I4" s="134"/>
      <c r="K4" s="256" t="s">
        <v>1146</v>
      </c>
      <c r="L4" s="96">
        <v>112</v>
      </c>
      <c r="M4" s="34"/>
      <c r="N4" s="34" t="s">
        <v>1120</v>
      </c>
      <c r="P4" s="7"/>
      <c r="Q4" s="7"/>
      <c r="R4" s="7"/>
      <c r="S4" s="7"/>
      <c r="T4" s="7"/>
      <c r="U4" s="7">
        <f t="shared" ref="U4:U10" si="0">R4*P4*Q4*0.05/860*IF(S4="變頻電力回收電梯",0.5,IF(S4="變頻電梯",0.7,1))*T4</f>
        <v>0</v>
      </c>
      <c r="W4" s="94" t="s">
        <v>797</v>
      </c>
      <c r="X4" s="259"/>
      <c r="Y4" s="93" t="s">
        <v>1004</v>
      </c>
      <c r="AA4" s="7"/>
      <c r="AB4" s="7"/>
      <c r="AD4" s="7" t="s">
        <v>1180</v>
      </c>
      <c r="AE4" s="7">
        <v>100</v>
      </c>
      <c r="AF4" s="7" t="s">
        <v>1185</v>
      </c>
    </row>
    <row r="5" spans="1:32">
      <c r="A5" s="86" t="s">
        <v>824</v>
      </c>
      <c r="B5" s="34"/>
      <c r="C5" s="86" t="s">
        <v>824</v>
      </c>
      <c r="D5" s="34"/>
      <c r="F5" s="80" t="s">
        <v>839</v>
      </c>
      <c r="G5" s="136"/>
      <c r="H5" s="137"/>
      <c r="I5" s="34" t="s">
        <v>986</v>
      </c>
      <c r="K5" s="256" t="s">
        <v>1019</v>
      </c>
      <c r="L5" s="96">
        <v>123</v>
      </c>
      <c r="M5" s="34"/>
      <c r="N5" s="34" t="s">
        <v>1120</v>
      </c>
      <c r="P5" s="7"/>
      <c r="Q5" s="7"/>
      <c r="R5" s="7"/>
      <c r="S5" s="7"/>
      <c r="T5" s="7"/>
      <c r="U5" s="7">
        <f t="shared" si="0"/>
        <v>0</v>
      </c>
      <c r="W5" s="90" t="s">
        <v>799</v>
      </c>
      <c r="X5" s="260"/>
      <c r="Y5" s="91" t="s">
        <v>752</v>
      </c>
      <c r="AA5" s="7"/>
      <c r="AB5" s="7"/>
      <c r="AD5" s="7" t="s">
        <v>1181</v>
      </c>
      <c r="AE5" s="7">
        <v>100</v>
      </c>
      <c r="AF5" s="7" t="s">
        <v>1186</v>
      </c>
    </row>
    <row r="6" spans="1:32">
      <c r="A6" s="86" t="s">
        <v>825</v>
      </c>
      <c r="B6" s="34"/>
      <c r="C6" s="86" t="s">
        <v>825</v>
      </c>
      <c r="D6" s="34"/>
      <c r="F6" s="80" t="s">
        <v>840</v>
      </c>
      <c r="G6" s="136"/>
      <c r="H6" s="137"/>
      <c r="I6" s="34" t="s">
        <v>987</v>
      </c>
      <c r="K6" s="256" t="s">
        <v>1106</v>
      </c>
      <c r="L6" s="96">
        <v>123</v>
      </c>
      <c r="M6" s="34"/>
      <c r="N6" s="34"/>
      <c r="P6" s="7"/>
      <c r="Q6" s="7"/>
      <c r="R6" s="7"/>
      <c r="S6" s="7"/>
      <c r="T6" s="7"/>
      <c r="U6" s="7">
        <f t="shared" si="0"/>
        <v>0</v>
      </c>
      <c r="W6" s="94" t="s">
        <v>798</v>
      </c>
      <c r="X6" s="259"/>
      <c r="Y6" s="93" t="s">
        <v>1004</v>
      </c>
      <c r="AA6" s="7"/>
      <c r="AB6" s="7"/>
      <c r="AD6" s="7" t="s">
        <v>1182</v>
      </c>
      <c r="AE6" s="7">
        <v>100</v>
      </c>
      <c r="AF6" s="7" t="s">
        <v>1186</v>
      </c>
    </row>
    <row r="7" spans="1:32">
      <c r="A7" s="86" t="s">
        <v>826</v>
      </c>
      <c r="B7" s="34"/>
      <c r="C7" s="86" t="s">
        <v>826</v>
      </c>
      <c r="D7" s="34"/>
      <c r="F7" s="80" t="s">
        <v>841</v>
      </c>
      <c r="G7" s="136"/>
      <c r="H7" s="137"/>
      <c r="I7" s="34" t="s">
        <v>987</v>
      </c>
      <c r="K7" s="256" t="s">
        <v>1157</v>
      </c>
      <c r="L7" s="96">
        <v>222</v>
      </c>
      <c r="M7" s="34"/>
      <c r="N7" s="34"/>
      <c r="P7" s="7"/>
      <c r="Q7" s="7"/>
      <c r="R7" s="7"/>
      <c r="S7" s="7"/>
      <c r="T7" s="7"/>
      <c r="U7" s="7">
        <f t="shared" si="0"/>
        <v>0</v>
      </c>
      <c r="W7" s="90" t="s">
        <v>800</v>
      </c>
      <c r="X7" s="260"/>
      <c r="Y7" s="91" t="s">
        <v>986</v>
      </c>
      <c r="AA7" s="7"/>
      <c r="AB7" s="7"/>
      <c r="AD7" s="270" t="s">
        <v>1183</v>
      </c>
      <c r="AE7" s="270"/>
      <c r="AF7" s="270"/>
    </row>
    <row r="8" spans="1:32">
      <c r="A8" s="86" t="s">
        <v>827</v>
      </c>
      <c r="B8" s="34"/>
      <c r="C8" s="86" t="s">
        <v>827</v>
      </c>
      <c r="D8" s="34"/>
      <c r="F8" s="80" t="s">
        <v>992</v>
      </c>
      <c r="G8" s="134" t="s">
        <v>690</v>
      </c>
      <c r="H8" s="134"/>
      <c r="I8" s="134"/>
      <c r="K8" s="256"/>
      <c r="L8" s="96"/>
      <c r="M8" s="34"/>
      <c r="N8" s="34"/>
      <c r="P8" s="7"/>
      <c r="Q8" s="7"/>
      <c r="R8" s="7"/>
      <c r="S8" s="7"/>
      <c r="T8" s="7"/>
      <c r="U8" s="7">
        <f t="shared" si="0"/>
        <v>0</v>
      </c>
      <c r="W8" s="94" t="s">
        <v>1170</v>
      </c>
      <c r="X8" s="259"/>
      <c r="Y8" s="93" t="s">
        <v>1128</v>
      </c>
      <c r="AA8" s="7"/>
      <c r="AB8" s="7"/>
      <c r="AD8" s="270"/>
      <c r="AE8" s="270"/>
      <c r="AF8" s="270"/>
    </row>
    <row r="9" spans="1:32">
      <c r="A9" s="86" t="s">
        <v>828</v>
      </c>
      <c r="B9" s="34"/>
      <c r="C9" s="86" t="s">
        <v>828</v>
      </c>
      <c r="D9" s="34"/>
      <c r="K9" s="256"/>
      <c r="L9" s="34"/>
      <c r="M9" s="34"/>
      <c r="N9" s="34"/>
      <c r="P9" s="7"/>
      <c r="Q9" s="7"/>
      <c r="R9" s="7"/>
      <c r="S9" s="7"/>
      <c r="T9" s="7"/>
      <c r="U9" s="7">
        <f t="shared" si="0"/>
        <v>0</v>
      </c>
      <c r="W9" s="262" t="s">
        <v>1173</v>
      </c>
      <c r="X9" s="266"/>
      <c r="Y9" s="91"/>
      <c r="AA9" s="7"/>
      <c r="AB9" s="7"/>
      <c r="AD9" s="269"/>
      <c r="AE9" s="269"/>
      <c r="AF9" s="269"/>
    </row>
    <row r="10" spans="1:32">
      <c r="A10" s="86" t="s">
        <v>829</v>
      </c>
      <c r="B10" s="34"/>
      <c r="C10" s="86" t="s">
        <v>829</v>
      </c>
      <c r="D10" s="34"/>
      <c r="K10" s="256"/>
      <c r="L10" s="7"/>
      <c r="M10" s="34"/>
      <c r="N10" s="34"/>
      <c r="P10" s="7"/>
      <c r="Q10" s="7"/>
      <c r="R10" s="7"/>
      <c r="S10" s="7"/>
      <c r="T10" s="7"/>
      <c r="U10" s="7">
        <f t="shared" si="0"/>
        <v>0</v>
      </c>
      <c r="W10" s="81" t="s">
        <v>1011</v>
      </c>
      <c r="X10" s="267"/>
      <c r="Y10" s="93" t="s">
        <v>986</v>
      </c>
      <c r="AD10" s="253"/>
      <c r="AE10" s="253"/>
      <c r="AF10" s="253"/>
    </row>
    <row r="11" spans="1:32">
      <c r="A11" s="86" t="s">
        <v>830</v>
      </c>
      <c r="B11" s="34"/>
      <c r="C11" s="86" t="s">
        <v>830</v>
      </c>
      <c r="D11" s="34"/>
      <c r="K11" s="256"/>
      <c r="L11" s="7"/>
      <c r="M11" s="34"/>
      <c r="N11" s="34"/>
      <c r="W11" s="81" t="s">
        <v>1169</v>
      </c>
      <c r="X11" s="267"/>
      <c r="Y11" s="93" t="s">
        <v>1129</v>
      </c>
    </row>
    <row r="12" spans="1:32">
      <c r="A12" s="86" t="s">
        <v>831</v>
      </c>
      <c r="B12" s="34"/>
      <c r="C12" s="86" t="s">
        <v>831</v>
      </c>
      <c r="D12" s="34"/>
      <c r="K12" s="256"/>
      <c r="L12" s="7"/>
      <c r="M12" s="34"/>
      <c r="N12" s="34"/>
      <c r="W12" s="263" t="s">
        <v>1174</v>
      </c>
      <c r="X12" s="268"/>
      <c r="Y12" s="92"/>
    </row>
    <row r="13" spans="1:32">
      <c r="A13" s="86" t="s">
        <v>832</v>
      </c>
      <c r="B13" s="34"/>
      <c r="C13" s="86" t="s">
        <v>832</v>
      </c>
      <c r="D13" s="34"/>
      <c r="K13" s="256"/>
      <c r="L13" s="7"/>
      <c r="M13" s="34"/>
      <c r="N13" s="34"/>
      <c r="P13" s="131" t="s">
        <v>999</v>
      </c>
      <c r="Q13" s="132"/>
      <c r="R13" s="132"/>
      <c r="S13" s="132"/>
      <c r="T13" s="132"/>
      <c r="U13" s="132"/>
      <c r="W13" s="264" t="s">
        <v>796</v>
      </c>
      <c r="X13" s="267"/>
      <c r="Y13" s="93" t="s">
        <v>1005</v>
      </c>
    </row>
    <row r="14" spans="1:32">
      <c r="A14" s="86" t="s">
        <v>833</v>
      </c>
      <c r="B14" s="34"/>
      <c r="C14" s="86" t="s">
        <v>833</v>
      </c>
      <c r="D14" s="34"/>
      <c r="K14" s="256"/>
      <c r="L14" s="7"/>
      <c r="M14" s="34"/>
      <c r="N14" s="34"/>
      <c r="P14" s="86" t="s">
        <v>1111</v>
      </c>
      <c r="Q14" s="86" t="s">
        <v>1112</v>
      </c>
      <c r="R14" s="86" t="s">
        <v>997</v>
      </c>
      <c r="S14" s="86" t="s">
        <v>998</v>
      </c>
      <c r="T14" s="86" t="s">
        <v>1002</v>
      </c>
      <c r="U14" s="86" t="s">
        <v>1123</v>
      </c>
      <c r="W14" s="264" t="s">
        <v>795</v>
      </c>
      <c r="X14" s="267"/>
      <c r="Y14" s="93" t="s">
        <v>1005</v>
      </c>
    </row>
    <row r="15" spans="1:32">
      <c r="A15" s="139" t="s">
        <v>834</v>
      </c>
      <c r="B15" s="139"/>
      <c r="C15" s="139"/>
      <c r="D15" s="139"/>
      <c r="K15" s="119" t="s">
        <v>1114</v>
      </c>
      <c r="L15" s="120"/>
      <c r="M15" s="120"/>
      <c r="N15" s="121"/>
      <c r="P15" s="7"/>
      <c r="Q15" s="7"/>
      <c r="R15" s="7"/>
      <c r="S15" s="7"/>
      <c r="T15" s="7"/>
      <c r="U15" s="7">
        <f>IF(Q15="&gt;4",8,5.5)*IF(S15="變頻怠速控制電梯",0.8,1)*R15</f>
        <v>0</v>
      </c>
      <c r="W15" s="263" t="s">
        <v>1170</v>
      </c>
      <c r="X15" s="268"/>
      <c r="Y15" s="92" t="s">
        <v>1128</v>
      </c>
    </row>
    <row r="16" spans="1:32">
      <c r="A16" s="139"/>
      <c r="B16" s="139"/>
      <c r="C16" s="139"/>
      <c r="D16" s="139"/>
      <c r="K16" s="122"/>
      <c r="L16" s="123"/>
      <c r="M16" s="123"/>
      <c r="N16" s="124"/>
      <c r="P16" s="7"/>
      <c r="Q16" s="7"/>
      <c r="R16" s="7"/>
      <c r="S16" s="7"/>
      <c r="T16" s="7"/>
      <c r="U16" s="7">
        <f t="shared" ref="U16:U22" si="1">IF(Q16="&gt;4",8,5.5)*IF(S16="一般電扶梯",0.8,1)*R16</f>
        <v>0</v>
      </c>
      <c r="W16" s="262" t="s">
        <v>1172</v>
      </c>
      <c r="X16" s="266"/>
      <c r="Y16" s="91"/>
    </row>
    <row r="17" spans="11:25">
      <c r="K17" s="125"/>
      <c r="L17" s="126"/>
      <c r="M17" s="126"/>
      <c r="N17" s="127"/>
      <c r="P17" s="7"/>
      <c r="Q17" s="7"/>
      <c r="R17" s="7"/>
      <c r="S17" s="7"/>
      <c r="T17" s="7"/>
      <c r="U17" s="7">
        <f t="shared" si="1"/>
        <v>0</v>
      </c>
      <c r="W17" s="264" t="s">
        <v>1171</v>
      </c>
      <c r="X17" s="267"/>
      <c r="Y17" s="93" t="s">
        <v>1129</v>
      </c>
    </row>
    <row r="18" spans="11:25">
      <c r="P18" s="7"/>
      <c r="Q18" s="7"/>
      <c r="R18" s="7"/>
      <c r="S18" s="7"/>
      <c r="T18" s="7"/>
      <c r="U18" s="7">
        <f t="shared" si="1"/>
        <v>0</v>
      </c>
      <c r="W18" s="263" t="s">
        <v>1174</v>
      </c>
      <c r="X18" s="268"/>
      <c r="Y18" s="92"/>
    </row>
    <row r="19" spans="11:25">
      <c r="P19" s="7"/>
      <c r="Q19" s="7"/>
      <c r="R19" s="7"/>
      <c r="S19" s="7"/>
      <c r="T19" s="7"/>
      <c r="U19" s="7">
        <f t="shared" si="1"/>
        <v>0</v>
      </c>
      <c r="W19" s="265" t="s">
        <v>793</v>
      </c>
      <c r="X19" s="257"/>
      <c r="Y19" s="113" t="s">
        <v>1005</v>
      </c>
    </row>
    <row r="20" spans="11:25">
      <c r="P20" s="7"/>
      <c r="Q20" s="7"/>
      <c r="R20" s="7"/>
      <c r="S20" s="7"/>
      <c r="T20" s="7"/>
      <c r="U20" s="7">
        <f t="shared" si="1"/>
        <v>0</v>
      </c>
    </row>
    <row r="21" spans="11:25">
      <c r="P21" s="7"/>
      <c r="Q21" s="7"/>
      <c r="R21" s="7"/>
      <c r="S21" s="7"/>
      <c r="T21" s="7"/>
      <c r="U21" s="7">
        <f t="shared" si="1"/>
        <v>0</v>
      </c>
    </row>
    <row r="22" spans="11:25">
      <c r="P22" s="7"/>
      <c r="Q22" s="7"/>
      <c r="R22" s="7"/>
      <c r="S22" s="7"/>
      <c r="T22" s="7"/>
      <c r="U22" s="7">
        <f t="shared" si="1"/>
        <v>0</v>
      </c>
    </row>
  </sheetData>
  <mergeCells count="18">
    <mergeCell ref="A1:D1"/>
    <mergeCell ref="A15:D16"/>
    <mergeCell ref="AD1:AF1"/>
    <mergeCell ref="AD7:AF8"/>
    <mergeCell ref="G8:I8"/>
    <mergeCell ref="W1:Y1"/>
    <mergeCell ref="F1:I1"/>
    <mergeCell ref="G2:I2"/>
    <mergeCell ref="G3:I3"/>
    <mergeCell ref="G4:I4"/>
    <mergeCell ref="G5:H5"/>
    <mergeCell ref="G7:H7"/>
    <mergeCell ref="G6:H6"/>
    <mergeCell ref="AA1:AB1"/>
    <mergeCell ref="K15:N17"/>
    <mergeCell ref="P1:U1"/>
    <mergeCell ref="P13:U13"/>
    <mergeCell ref="K1:N1"/>
  </mergeCells>
  <phoneticPr fontId="7" type="noConversion"/>
  <dataValidations count="8">
    <dataValidation type="list" allowBlank="1" showInputMessage="1" showErrorMessage="1" sqref="B2 D2" xr:uid="{98CB0EB0-01C6-6343-BCC4-CA558B10BE28}">
      <formula1>"2020,2021,2022,2023,2024"</formula1>
    </dataValidation>
    <dataValidation type="list" allowBlank="1" showInputMessage="1" showErrorMessage="1" sqref="M3:M14" xr:uid="{60BC98F6-7E75-B941-AF23-ED0991361031}">
      <formula1>"全年,間歇,無"</formula1>
    </dataValidation>
    <dataValidation type="list" allowBlank="1" showInputMessage="1" showErrorMessage="1" sqref="N3:N14 X16" xr:uid="{8B08E8AC-75F8-CE4E-B36A-F629BB810627}">
      <formula1>"是,否"</formula1>
    </dataValidation>
    <dataValidation type="list" allowBlank="1" showInputMessage="1" showErrorMessage="1" sqref="P15:P22" xr:uid="{7051F6A6-2CB0-C14D-9B1C-0E3395E0CAEA}">
      <formula1>"0.6,0.8,1"</formula1>
    </dataValidation>
    <dataValidation type="list" allowBlank="1" showInputMessage="1" showErrorMessage="1" sqref="Q15:Q22" xr:uid="{29B169B3-EFA0-E148-B6A3-9CB0ED003AFC}">
      <formula1>"&gt;4,&lt;=4"</formula1>
    </dataValidation>
    <dataValidation type="list" allowBlank="1" showInputMessage="1" showErrorMessage="1" sqref="X17" xr:uid="{31CDFF3C-0FBB-C74F-B7D1-AEA625D0BB89}">
      <formula1>"全年(365),非全年北部(181),非全年中部(151),非全年南部(121)"</formula1>
    </dataValidation>
    <dataValidation type="list" allowBlank="1" showInputMessage="1" showErrorMessage="1" sqref="X18 X12" xr:uid="{9EA44C48-9C5D-D342-925A-2B29E4727EE7}">
      <formula1>"熱泵,電熱水器"</formula1>
    </dataValidation>
    <dataValidation type="list" allowBlank="1" showInputMessage="1" showErrorMessage="1" sqref="X9" xr:uid="{16D390B1-EE7A-3C4A-B247-A8541ADD80F7}">
      <formula1>"一餐服務,兩餐服務,三餐服務,24小時服務"</formula1>
    </dataValidation>
  </dataValidations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08C8919-5D32-1149-B01B-674247E2AA2B}">
          <x14:formula1>
            <xm:f>城鄉係數!$A$2:$A$144</xm:f>
          </x14:formula1>
          <xm:sqref>G4:I4</xm:sqref>
        </x14:dataValidation>
        <x14:dataValidation type="list" allowBlank="1" showInputMessage="1" showErrorMessage="1" xr:uid="{185B3F18-A033-F341-AD8F-48B4F681DAE6}">
          <x14:formula1>
            <xm:f>建築類型!$B$2:$B$13</xm:f>
          </x14:formula1>
          <xm:sqref>G8:I8</xm:sqref>
        </x14:dataValidation>
        <x14:dataValidation type="list" allowBlank="1" showInputMessage="1" showErrorMessage="1" xr:uid="{FD339956-4351-B746-8E81-DF255E376C8F}">
          <x14:formula1>
            <xm:f>總區域類型!$A$1:$A$122</xm:f>
          </x14:formula1>
          <xm:sqref>K3:K14</xm:sqref>
        </x14:dataValidation>
        <x14:dataValidation type="list" allowBlank="1" showInputMessage="1" showErrorMessage="1" xr:uid="{5228B5DC-B495-5146-AB97-92430A463159}">
          <x14:formula1>
            <xm:f>免評估設備!$I$2:$I$4</xm:f>
          </x14:formula1>
          <xm:sqref>S3:S10</xm:sqref>
        </x14:dataValidation>
        <x14:dataValidation type="list" allowBlank="1" showInputMessage="1" showErrorMessage="1" xr:uid="{7C2ECE4F-574D-B148-90C3-E9283BF56265}">
          <x14:formula1>
            <xm:f>免評估設備!$I$6:$I$7</xm:f>
          </x14:formula1>
          <xm:sqref>S15:S22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71245-0AB0-F846-ABE5-485AB0086FFB}">
  <sheetPr>
    <tabColor theme="3" tint="0.749992370372631"/>
  </sheetPr>
  <dimension ref="A1:O59"/>
  <sheetViews>
    <sheetView tabSelected="1" topLeftCell="A12" workbookViewId="0">
      <selection activeCell="A16" sqref="A16"/>
    </sheetView>
  </sheetViews>
  <sheetFormatPr baseColWidth="10" defaultRowHeight="16"/>
  <cols>
    <col min="1" max="1" width="19" customWidth="1"/>
    <col min="2" max="2" width="12.5703125" customWidth="1"/>
    <col min="3" max="4" width="13.28515625" customWidth="1"/>
    <col min="5" max="5" width="19.5703125" customWidth="1"/>
    <col min="6" max="7" width="13.28515625" customWidth="1"/>
    <col min="8" max="8" width="11.85546875" customWidth="1"/>
    <col min="9" max="9" width="0" hidden="1" customWidth="1"/>
    <col min="11" max="11" width="8.7109375" bestFit="1" customWidth="1"/>
    <col min="12" max="12" width="12.140625" bestFit="1" customWidth="1"/>
    <col min="13" max="13" width="22.7109375" bestFit="1" customWidth="1"/>
    <col min="14" max="14" width="24.7109375" customWidth="1"/>
    <col min="15" max="15" width="7.7109375" bestFit="1" customWidth="1"/>
  </cols>
  <sheetData>
    <row r="1" spans="1:15">
      <c r="A1" s="157" t="s">
        <v>93</v>
      </c>
      <c r="B1" s="157"/>
      <c r="C1" s="157"/>
      <c r="D1" s="157"/>
      <c r="E1" s="157"/>
      <c r="F1" s="157"/>
      <c r="G1" s="157"/>
      <c r="H1" s="157"/>
      <c r="K1" s="75" t="s">
        <v>2</v>
      </c>
      <c r="L1" s="75" t="s">
        <v>3</v>
      </c>
      <c r="M1" s="75" t="s">
        <v>4</v>
      </c>
      <c r="N1" s="140" t="s">
        <v>5</v>
      </c>
      <c r="O1" s="140"/>
    </row>
    <row r="2" spans="1:15" ht="16" customHeight="1">
      <c r="A2" s="141" t="s">
        <v>94</v>
      </c>
      <c r="B2" s="141"/>
      <c r="C2" s="141"/>
      <c r="D2" s="141"/>
      <c r="E2" s="141"/>
      <c r="F2" s="141"/>
      <c r="G2" s="141"/>
      <c r="H2" s="141"/>
      <c r="K2" s="5" t="s">
        <v>6</v>
      </c>
      <c r="L2" s="5" t="s">
        <v>7</v>
      </c>
      <c r="M2" s="5" t="s">
        <v>8</v>
      </c>
      <c r="N2" s="6" t="s">
        <v>435</v>
      </c>
      <c r="O2" s="9">
        <v>63.98</v>
      </c>
    </row>
    <row r="3" spans="1:15" ht="16" customHeight="1">
      <c r="A3" s="19" t="s">
        <v>0</v>
      </c>
      <c r="B3" s="158">
        <f>填表!G2</f>
        <v>0</v>
      </c>
      <c r="C3" s="159"/>
      <c r="D3" s="159"/>
      <c r="E3" s="159"/>
      <c r="F3" s="159"/>
      <c r="G3" s="159"/>
      <c r="H3" s="160"/>
      <c r="K3" s="5">
        <v>1</v>
      </c>
      <c r="L3" s="5" t="s">
        <v>9</v>
      </c>
      <c r="M3" s="5" t="s">
        <v>8</v>
      </c>
      <c r="N3" s="6" t="s">
        <v>438</v>
      </c>
      <c r="O3" s="9">
        <v>70.67</v>
      </c>
    </row>
    <row r="4" spans="1:15">
      <c r="A4" s="19" t="s">
        <v>40</v>
      </c>
      <c r="B4" s="161">
        <f>填表!G3</f>
        <v>0</v>
      </c>
      <c r="C4" s="161"/>
      <c r="D4" s="161"/>
      <c r="E4" s="161"/>
      <c r="F4" s="161"/>
      <c r="G4" s="161"/>
      <c r="H4" s="161"/>
      <c r="K4" s="5">
        <v>2</v>
      </c>
      <c r="L4" s="5" t="s">
        <v>10</v>
      </c>
      <c r="M4" s="5" t="s">
        <v>8</v>
      </c>
      <c r="N4" s="6" t="s">
        <v>436</v>
      </c>
      <c r="O4" s="9">
        <f xml:space="preserve"> 74.01</f>
        <v>74.010000000000005</v>
      </c>
    </row>
    <row r="5" spans="1:15">
      <c r="A5" s="19" t="s">
        <v>137</v>
      </c>
      <c r="B5" s="143">
        <f>填表!G5</f>
        <v>0</v>
      </c>
      <c r="C5" s="144"/>
      <c r="D5" s="23" t="s">
        <v>138</v>
      </c>
      <c r="E5" s="16" t="s">
        <v>100</v>
      </c>
      <c r="F5" s="143">
        <f>B44</f>
        <v>123</v>
      </c>
      <c r="G5" s="144"/>
      <c r="H5" s="23" t="s">
        <v>138</v>
      </c>
      <c r="K5" s="5">
        <v>3</v>
      </c>
      <c r="L5" s="5" t="s">
        <v>11</v>
      </c>
      <c r="M5" s="5" t="s">
        <v>8</v>
      </c>
      <c r="N5" s="6" t="s">
        <v>437</v>
      </c>
      <c r="O5" s="9">
        <f xml:space="preserve"> 77.35</f>
        <v>77.349999999999994</v>
      </c>
    </row>
    <row r="6" spans="1:15">
      <c r="A6" s="16" t="s">
        <v>95</v>
      </c>
      <c r="B6" s="143">
        <f>填表!G6</f>
        <v>0</v>
      </c>
      <c r="C6" s="144"/>
      <c r="D6" s="23" t="s">
        <v>139</v>
      </c>
      <c r="E6" s="16" t="s">
        <v>96</v>
      </c>
      <c r="F6" s="143">
        <f>填表!G7</f>
        <v>0</v>
      </c>
      <c r="G6" s="144"/>
      <c r="H6" s="23" t="s">
        <v>139</v>
      </c>
      <c r="K6" s="5">
        <v>4</v>
      </c>
      <c r="L6" s="5" t="s">
        <v>12</v>
      </c>
      <c r="M6" s="5" t="s">
        <v>8</v>
      </c>
      <c r="N6" s="6" t="s">
        <v>17</v>
      </c>
      <c r="O6" s="9">
        <f xml:space="preserve"> 80.7</f>
        <v>80.7</v>
      </c>
    </row>
    <row r="7" spans="1:15" ht="16" customHeight="1">
      <c r="A7" s="16" t="s">
        <v>42</v>
      </c>
      <c r="B7" s="143">
        <f>C10</f>
        <v>0</v>
      </c>
      <c r="C7" s="144"/>
      <c r="D7" s="23" t="s">
        <v>133</v>
      </c>
      <c r="E7" s="16" t="s">
        <v>97</v>
      </c>
      <c r="F7" s="143">
        <f>填表!X19</f>
        <v>0</v>
      </c>
      <c r="G7" s="144"/>
      <c r="H7" s="23" t="s">
        <v>140</v>
      </c>
      <c r="K7" s="5">
        <v>5</v>
      </c>
      <c r="L7" s="5" t="s">
        <v>13</v>
      </c>
      <c r="M7" s="5" t="s">
        <v>8</v>
      </c>
      <c r="N7" s="6" t="s">
        <v>439</v>
      </c>
      <c r="O7" s="9">
        <f xml:space="preserve"> 92.76</f>
        <v>92.76</v>
      </c>
    </row>
    <row r="8" spans="1:15">
      <c r="A8" s="16" t="s">
        <v>98</v>
      </c>
      <c r="B8" s="143">
        <v>0</v>
      </c>
      <c r="C8" s="144"/>
      <c r="D8" s="23" t="s">
        <v>133</v>
      </c>
      <c r="E8" s="16" t="s">
        <v>99</v>
      </c>
      <c r="F8" s="143">
        <f>IFERROR(VLOOKUP(填表!G4,城鄉係數!A:E,5,FALSE),1)</f>
        <v>1</v>
      </c>
      <c r="G8" s="144"/>
      <c r="H8" s="23"/>
      <c r="K8" s="5">
        <v>6</v>
      </c>
      <c r="L8" s="5" t="s">
        <v>14</v>
      </c>
      <c r="M8" s="5" t="s">
        <v>8</v>
      </c>
      <c r="N8" s="6" t="s">
        <v>440</v>
      </c>
      <c r="O8" s="9">
        <f xml:space="preserve"> 116.87</f>
        <v>116.87</v>
      </c>
    </row>
    <row r="9" spans="1:15">
      <c r="A9" s="145" t="s">
        <v>112</v>
      </c>
      <c r="B9" s="146"/>
      <c r="C9" s="146"/>
      <c r="D9" s="146"/>
      <c r="E9" s="146"/>
      <c r="F9" s="146"/>
      <c r="G9" s="146"/>
      <c r="H9" s="147"/>
      <c r="K9" s="5">
        <v>7</v>
      </c>
      <c r="L9" s="5" t="s">
        <v>15</v>
      </c>
      <c r="M9" s="5" t="s">
        <v>16</v>
      </c>
      <c r="N9" s="6" t="s">
        <v>440</v>
      </c>
      <c r="O9" s="9">
        <f xml:space="preserve"> 116.87</f>
        <v>116.87</v>
      </c>
    </row>
    <row r="10" spans="1:15" ht="16" customHeight="1">
      <c r="A10" s="152" t="s">
        <v>111</v>
      </c>
      <c r="B10" s="153"/>
      <c r="C10" s="143">
        <f>IF(OR(SUM(填表!B3:B4)=填表!B3,SUM(填表!B3:B4)=填表!B4),MIN(電費單資料!B12,電費單資料!D12),MIN(電費單資料!I18,電費單資料!K18))</f>
        <v>0</v>
      </c>
      <c r="D10" s="156"/>
      <c r="E10" s="156"/>
      <c r="F10" s="156"/>
      <c r="G10" s="144"/>
      <c r="H10" s="20" t="s">
        <v>25</v>
      </c>
    </row>
    <row r="11" spans="1:15" ht="28" customHeight="1">
      <c r="A11" s="152" t="s">
        <v>110</v>
      </c>
      <c r="B11" s="153"/>
      <c r="C11" s="143" t="str">
        <f>IFERROR(IF(OR(SUM(填表!B3:B4)=填表!B3,SUM(填表!B3:B4)=填表!B4),MAX(電費單資料!F6:F12),MAX(電費單資料!M6:M17)),"")</f>
        <v/>
      </c>
      <c r="D11" s="156"/>
      <c r="E11" s="144"/>
      <c r="F11" s="148" t="str">
        <f>IF(C11&lt;50%,"■合格(&lt;50%) □不合格","□合格(&lt;50%) ■不合格")</f>
        <v>□合格(&lt;50%) ■不合格</v>
      </c>
      <c r="G11" s="148"/>
      <c r="H11" s="148"/>
    </row>
    <row r="12" spans="1:15" ht="28" customHeight="1">
      <c r="A12" s="152" t="s">
        <v>109</v>
      </c>
      <c r="B12" s="153"/>
      <c r="C12" s="143" t="str">
        <f>IFERROR(IF(OR(SUM(填表!B3:B4)=填表!B3,SUM(填表!B3:B4)=填表!B4),電費單資料!F12,電費單資料!M18),"")</f>
        <v/>
      </c>
      <c r="D12" s="156"/>
      <c r="E12" s="144"/>
      <c r="F12" s="148" t="str">
        <f>IF(C12&lt;50%,"■合格(&lt;50%) □不合格","□合格(&lt;50%) ■不合格")</f>
        <v>□合格(&lt;50%) ■不合格</v>
      </c>
      <c r="G12" s="148"/>
      <c r="H12" s="148"/>
    </row>
    <row r="13" spans="1:15" ht="17" customHeight="1">
      <c r="A13" s="141" t="s">
        <v>101</v>
      </c>
      <c r="B13" s="141"/>
      <c r="C13" s="141"/>
      <c r="D13" s="141"/>
      <c r="E13" s="141"/>
      <c r="F13" s="141"/>
      <c r="G13" s="141"/>
      <c r="H13" s="141"/>
    </row>
    <row r="14" spans="1:15" ht="17">
      <c r="A14" s="149" t="s">
        <v>24</v>
      </c>
      <c r="B14" s="17" t="s">
        <v>129</v>
      </c>
      <c r="C14" s="142" t="s">
        <v>130</v>
      </c>
      <c r="D14" s="142"/>
      <c r="E14" s="142"/>
      <c r="F14" s="142"/>
      <c r="G14" s="142"/>
      <c r="H14" s="17" t="s">
        <v>131</v>
      </c>
    </row>
    <row r="15" spans="1:15">
      <c r="A15" s="150"/>
      <c r="B15" s="18" t="s">
        <v>128</v>
      </c>
      <c r="C15" s="142" t="s">
        <v>127</v>
      </c>
      <c r="D15" s="142"/>
      <c r="E15" s="142"/>
      <c r="F15" s="142"/>
      <c r="G15" s="142"/>
      <c r="H15" s="18" t="s">
        <v>127</v>
      </c>
    </row>
    <row r="16" spans="1:15">
      <c r="A16" s="104" t="str" cm="1">
        <f t="array" ref="A16">IFERROR(INDEX(免評估分區面積與年耗電量計算!$A$4:$A$15,SUM(免評估分區面積與年耗電量計算!$F$4:$F4)+ROWS($A$16:$A16)),"")</f>
        <v>N312</v>
      </c>
      <c r="B16" s="104">
        <f>VLOOKUP(A16,免評估分區面積與年耗電量計算!A:E,2,FALSE)</f>
        <v>132</v>
      </c>
      <c r="C16" s="143" t="str">
        <f>IFERROR(VLOOKUP(A16,免評估分區計算參數!B:F,5,FALSE)&amp;IF(OR(A16="N211",A16="N212",A16="N22",A16="N8")," "," x "&amp;"面積"),"")</f>
        <v>35.3 x 面積</v>
      </c>
      <c r="D16" s="156"/>
      <c r="E16" s="156"/>
      <c r="F16" s="156"/>
      <c r="G16" s="144"/>
      <c r="H16" s="104">
        <f>IFERROR(VLOOKUP(BERSe評估總表!A16,免評估分區面積與年耗電量計算!A:E,5,FALSE),"")</f>
        <v>4659.5999999999995</v>
      </c>
    </row>
    <row r="17" spans="1:9">
      <c r="A17" s="104" t="str" cm="1">
        <f t="array" ref="A17">IFERROR(INDEX(免評估分區面積與年耗電量計算!$A$4:$A$15,SUM(免評估分區面積與年耗電量計算!$F$4:$F5)+ROWS($A$16:$A17)),"")</f>
        <v>N111</v>
      </c>
      <c r="B17" s="104">
        <f>VLOOKUP(A17,免評估分區面積與年耗電量計算!A:E,2,FALSE)</f>
        <v>112</v>
      </c>
      <c r="C17" s="143" t="str">
        <f>IFERROR(VLOOKUP(A17,免評估分區計算參數!B:F,5,FALSE)&amp;IF(OR(A17="N211",A17="N212",A17="N22",A17="N8")," "," x "&amp;"面積"),"")</f>
        <v>330 x 面積</v>
      </c>
      <c r="D17" s="156"/>
      <c r="E17" s="156"/>
      <c r="F17" s="156"/>
      <c r="G17" s="144"/>
      <c r="H17" s="104">
        <f>IFERROR(VLOOKUP(BERSe評估總表!A17,免評估分區面積與年耗電量計算!A:E,5,FALSE),"")</f>
        <v>36960</v>
      </c>
    </row>
    <row r="18" spans="1:9">
      <c r="A18" s="104" t="str" cm="1">
        <f t="array" ref="A18">IFERROR(INDEX(免評估分區面積與年耗電量計算!$A$4:$A$15,SUM(免評估分區面積與年耗電量計算!$F$4:$F6)+ROWS($A$16:$A18)),"")</f>
        <v>N8</v>
      </c>
      <c r="B18" s="104">
        <f>VLOOKUP(A18,免評估分區面積與年耗電量計算!A:E,2,FALSE)</f>
        <v>123</v>
      </c>
      <c r="C18" s="143" t="str">
        <f>IFERROR(VLOOKUP(A18,免評估分區計算參數!B:F,5,FALSE)&amp;IF(OR(A18="N211",A18="N212",A18="N22",A18="N8")," "," x "&amp;"面積"),"")</f>
        <v xml:space="preserve">6273 </v>
      </c>
      <c r="D18" s="156"/>
      <c r="E18" s="156"/>
      <c r="F18" s="156"/>
      <c r="G18" s="144"/>
      <c r="H18" s="104">
        <f>IFERROR(VLOOKUP(BERSe評估總表!A18,免評估分區面積與年耗電量計算!A:E,5,FALSE),"")</f>
        <v>6273</v>
      </c>
    </row>
    <row r="19" spans="1:9">
      <c r="A19" s="104" t="str" cm="1">
        <f t="array" ref="A19">IFERROR(INDEX(免評估分區面積與年耗電量計算!$A$4:$A$15,SUM(免評估分區面積與年耗電量計算!$F$4:$F7)+ROWS($A$16:$A19)),"")</f>
        <v>N211</v>
      </c>
      <c r="B19" s="104">
        <f>VLOOKUP(A19,免評估分區面積與年耗電量計算!A:E,2,FALSE)</f>
        <v>222</v>
      </c>
      <c r="C19" s="143" t="str">
        <f>IFERROR(VLOOKUP(A19,免評估分區計算參數!B:F,5,FALSE)&amp;IF(OR(A19="N211",A19="N212",A19="N22",A19="N8")," "," x "&amp;"面積"),"")</f>
        <v xml:space="preserve">0 </v>
      </c>
      <c r="D19" s="156"/>
      <c r="E19" s="156"/>
      <c r="F19" s="156"/>
      <c r="G19" s="144"/>
      <c r="H19" s="104">
        <f>IFERROR(VLOOKUP(BERSe評估總表!A19,免評估分區面積與年耗電量計算!A:E,5,FALSE),"")</f>
        <v>0</v>
      </c>
    </row>
    <row r="20" spans="1:9">
      <c r="A20" s="104" t="str" cm="1">
        <f t="array" ref="A20">IFERROR(INDEX(免評估分區面積與年耗電量計算!$A$4:$A$15,SUM(免評估分區面積與年耗電量計算!$F$4:$F8)+ROWS($A$16:$A20)),"")</f>
        <v/>
      </c>
      <c r="B20" s="104" t="str">
        <f>VLOOKUP(A20,免評估分區面積與年耗電量計算!A:E,2,FALSE)</f>
        <v/>
      </c>
      <c r="C20" s="143" t="str">
        <f>IFERROR(VLOOKUP(A20,免評估分區計算參數!B:F,5,FALSE)&amp;IF(OR(A20="N211",A20="N212",A20="N22",A20="N8")," "," x "&amp;"面積"),"")</f>
        <v/>
      </c>
      <c r="D20" s="156"/>
      <c r="E20" s="156"/>
      <c r="F20" s="156"/>
      <c r="G20" s="144"/>
      <c r="H20" s="104" t="str">
        <f>IFERROR(VLOOKUP(BERSe評估總表!A20,免評估分區面積與年耗電量計算!A:E,5,FALSE),"")</f>
        <v/>
      </c>
    </row>
    <row r="21" spans="1:9">
      <c r="A21" s="104" t="str" cm="1">
        <f t="array" ref="A21">IFERROR(INDEX(免評估分區面積與年耗電量計算!$A$4:$A$15,SUM(免評估分區面積與年耗電量計算!$F$4:$F9)+ROWS($A$16:$A21)),"")</f>
        <v/>
      </c>
      <c r="B21" s="104" t="str">
        <f>VLOOKUP(A21,免評估分區面積與年耗電量計算!A:E,2,FALSE)</f>
        <v/>
      </c>
      <c r="C21" s="143" t="str">
        <f>IFERROR(VLOOKUP(A21,免評估分區計算參數!B:F,5,FALSE)&amp;IF(OR(A21="N211",A21="N212",A21="N22",A21="N8")," "," x "&amp;"面積"),"")</f>
        <v/>
      </c>
      <c r="D21" s="156"/>
      <c r="E21" s="156"/>
      <c r="F21" s="156"/>
      <c r="G21" s="144"/>
      <c r="H21" s="104" t="str">
        <f>IFERROR(VLOOKUP(BERSe評估總表!A21,免評估分區面積與年耗電量計算!A:E,5,FALSE),"")</f>
        <v/>
      </c>
    </row>
    <row r="22" spans="1:9">
      <c r="A22" s="104" t="str" cm="1">
        <f t="array" ref="A22">IFERROR(INDEX(免評估分區面積與年耗電量計算!$A$4:$A$15,SUM(免評估分區面積與年耗電量計算!$F$4:$F10)+ROWS($A$16:$A22)),"")</f>
        <v/>
      </c>
      <c r="B22" s="104" t="str">
        <f>VLOOKUP(A22,免評估分區面積與年耗電量計算!A:E,2,FALSE)</f>
        <v/>
      </c>
      <c r="C22" s="143" t="str">
        <f>IFERROR(VLOOKUP(A22,免評估分區計算參數!B:F,5,FALSE)&amp;IF(OR(A22="N211",A22="N212",A22="N22",A22="N8")," "," x "&amp;"面積"),"")</f>
        <v/>
      </c>
      <c r="D22" s="156"/>
      <c r="E22" s="156"/>
      <c r="F22" s="156"/>
      <c r="G22" s="144"/>
      <c r="H22" s="104" t="str">
        <f>IFERROR(VLOOKUP(BERSe評估總表!A22,免評估分區面積與年耗電量計算!A:E,5,FALSE),"")</f>
        <v/>
      </c>
    </row>
    <row r="23" spans="1:9">
      <c r="A23" s="104" t="str" cm="1">
        <f t="array" ref="A23">IFERROR(INDEX(免評估分區面積與年耗電量計算!$A$4:$A$15,SUM(免評估分區面積與年耗電量計算!$F$4:$F11)+ROWS($A$16:$A23)),"")</f>
        <v/>
      </c>
      <c r="B23" s="104" t="str">
        <f>VLOOKUP(A23,免評估分區面積與年耗電量計算!A:E,2,FALSE)</f>
        <v/>
      </c>
      <c r="C23" s="143" t="str">
        <f>IFERROR(VLOOKUP(A23,免評估分區計算參數!B:F,5,FALSE)&amp;IF(OR(A23="N211",A23="N212",A23="N22",A23="N8")," "," x "&amp;"面積"),"")</f>
        <v/>
      </c>
      <c r="D23" s="156"/>
      <c r="E23" s="156"/>
      <c r="F23" s="156"/>
      <c r="G23" s="144"/>
      <c r="H23" s="104" t="str">
        <f>IFERROR(VLOOKUP(BERSe評估總表!A23,免評估分區面積與年耗電量計算!A:E,5,FALSE),"")</f>
        <v/>
      </c>
    </row>
    <row r="24" spans="1:9">
      <c r="A24" s="104" t="str" cm="1">
        <f t="array" ref="A24">IFERROR(INDEX(免評估分區面積與年耗電量計算!$A$4:$A$15,SUM(免評估分區面積與年耗電量計算!$F$4:$F12)+ROWS($A$16:$A24)),"")</f>
        <v/>
      </c>
      <c r="B24" s="104" t="str">
        <f>VLOOKUP(A24,免評估分區面積與年耗電量計算!A:E,2,FALSE)</f>
        <v/>
      </c>
      <c r="C24" s="143" t="str">
        <f>IFERROR(VLOOKUP(A24,免評估分區計算參數!B:F,5,FALSE)&amp;IF(OR(A24="N211",A24="N212",A24="N22",A24="N8")," "," x "&amp;"面積"),"")</f>
        <v/>
      </c>
      <c r="D24" s="156"/>
      <c r="E24" s="156"/>
      <c r="F24" s="156"/>
      <c r="G24" s="144"/>
      <c r="H24" s="104" t="str">
        <f>IFERROR(VLOOKUP(BERSe評估總表!A24,免評估分區面積與年耗電量計算!A:E,5,FALSE),"")</f>
        <v/>
      </c>
    </row>
    <row r="25" spans="1:9">
      <c r="A25" s="104" t="str" cm="1">
        <f t="array" ref="A25">IFERROR(INDEX(免評估分區面積與年耗電量計算!$A$4:$A$15,SUM(免評估分區面積與年耗電量計算!$F$4:$F13)+ROWS($A$16:$A25)),"")</f>
        <v/>
      </c>
      <c r="B25" s="104" t="str">
        <f>VLOOKUP(A25,免評估分區面積與年耗電量計算!A:E,2,FALSE)</f>
        <v/>
      </c>
      <c r="C25" s="143" t="str">
        <f>IFERROR(VLOOKUP(A25,免評估分區計算參數!B:F,5,FALSE)&amp;IF(OR(A25="N211",A25="N212",A25="N22",A25="N8")," "," x "&amp;"面積"),"")</f>
        <v/>
      </c>
      <c r="D25" s="156"/>
      <c r="E25" s="156"/>
      <c r="F25" s="156"/>
      <c r="G25" s="144"/>
      <c r="H25" s="104" t="str">
        <f>IFERROR(VLOOKUP(BERSe評估總表!A25,免評估分區面積與年耗電量計算!A:E,5,FALSE),"")</f>
        <v/>
      </c>
    </row>
    <row r="26" spans="1:9">
      <c r="A26" s="104" t="str" cm="1">
        <f t="array" ref="A26">IFERROR(INDEX(免評估分區面積與年耗電量計算!$A$4:$A$15,SUM(免評估分區面積與年耗電量計算!$F$4:$F14)+ROWS($A$16:$A26)),"")</f>
        <v/>
      </c>
      <c r="B26" s="104" t="str">
        <f>VLOOKUP(A26,免評估分區面積與年耗電量計算!A:E,2,FALSE)</f>
        <v/>
      </c>
      <c r="C26" s="143" t="str">
        <f>IFERROR(VLOOKUP(A26,免評估分區計算參數!B:F,5,FALSE)&amp;IF(OR(A26="N211",A26="N212",A26="N22",A26="N8")," "," x "&amp;"面積"),"")</f>
        <v/>
      </c>
      <c r="D26" s="156"/>
      <c r="E26" s="156"/>
      <c r="F26" s="156"/>
      <c r="G26" s="144"/>
      <c r="H26" s="104" t="str">
        <f>IFERROR(VLOOKUP(BERSe評估總表!A26,免評估分區面積與年耗電量計算!A:E,5,FALSE),"")</f>
        <v/>
      </c>
    </row>
    <row r="27" spans="1:9">
      <c r="A27" s="104" t="str" cm="1">
        <f t="array" ref="A27">IFERROR(INDEX(免評估分區面積與年耗電量計算!$A$4:$A$15,SUM(免評估分區面積與年耗電量計算!$F$4:$F15)+ROWS($A$16:$A27)),"")</f>
        <v/>
      </c>
      <c r="B27" s="104" t="str">
        <f>VLOOKUP(A27,免評估分區面積與年耗電量計算!A:E,2,FALSE)</f>
        <v/>
      </c>
      <c r="C27" s="143" t="str">
        <f>IFERROR(VLOOKUP(A27,免評估分區計算參數!B:F,5,FALSE)&amp;IF(OR(A27="N211",A27="N212",A27="N22",A27="N8")," "," x "&amp;"面積"),"")</f>
        <v/>
      </c>
      <c r="D27" s="156"/>
      <c r="E27" s="156"/>
      <c r="F27" s="156"/>
      <c r="G27" s="144"/>
      <c r="H27" s="104" t="str">
        <f>IFERROR(VLOOKUP(BERSe評估總表!A27,免評估分區面積與年耗電量計算!A:E,5,FALSE),"")</f>
        <v/>
      </c>
    </row>
    <row r="28" spans="1:9">
      <c r="A28" s="8" t="s">
        <v>102</v>
      </c>
      <c r="B28" s="100">
        <f>SUM(B16:B27)</f>
        <v>589</v>
      </c>
      <c r="C28" s="148" t="s">
        <v>108</v>
      </c>
      <c r="D28" s="148"/>
      <c r="E28" s="148"/>
      <c r="F28" s="148"/>
      <c r="G28" s="148"/>
      <c r="H28" s="273">
        <f>SUM(H16:H27)</f>
        <v>47892.6</v>
      </c>
    </row>
    <row r="29" spans="1:9" ht="16" customHeight="1">
      <c r="A29" s="141" t="s">
        <v>103</v>
      </c>
      <c r="B29" s="141"/>
      <c r="C29" s="141"/>
      <c r="D29" s="141"/>
      <c r="E29" s="141"/>
      <c r="F29" s="141"/>
      <c r="G29" s="141"/>
      <c r="H29" s="141"/>
    </row>
    <row r="30" spans="1:9" ht="16" customHeight="1">
      <c r="A30" s="162" t="s">
        <v>19</v>
      </c>
      <c r="B30" s="15" t="s">
        <v>126</v>
      </c>
      <c r="C30" s="162" t="s">
        <v>125</v>
      </c>
      <c r="D30" s="162" t="s">
        <v>113</v>
      </c>
      <c r="E30" s="15" t="s">
        <v>22</v>
      </c>
      <c r="F30" s="162" t="s">
        <v>41</v>
      </c>
      <c r="G30" s="162" t="s">
        <v>104</v>
      </c>
      <c r="H30" s="15" t="s">
        <v>105</v>
      </c>
    </row>
    <row r="31" spans="1:9" ht="18">
      <c r="A31" s="162"/>
      <c r="B31" s="15" t="s">
        <v>114</v>
      </c>
      <c r="C31" s="162"/>
      <c r="D31" s="162"/>
      <c r="E31" s="15" t="s">
        <v>18</v>
      </c>
      <c r="F31" s="162"/>
      <c r="G31" s="162"/>
      <c r="H31" s="15" t="s">
        <v>25</v>
      </c>
    </row>
    <row r="32" spans="1:9">
      <c r="A32" s="104" t="str" cm="1">
        <f t="array" ref="A32">IFERROR(INDEX(評估分區面積與中位值年耗電量計算!$A$28:$A$39,SUM(評估分區面積與中位值年耗電量計算!$Q$28:$Q28)+ROWS($A$32:$A32)),"")</f>
        <v/>
      </c>
      <c r="B32" s="100" t="str">
        <f>VLOOKUP(A32,評估分區面積與中位值年耗電量計算!A28:O39,2,FALSE)</f>
        <v/>
      </c>
      <c r="C32" s="100" t="str">
        <f>VLOOKUP(A32,評估分區面積與中位值年耗電量計算!A28:O39,5,FALSE)</f>
        <v/>
      </c>
      <c r="D32" s="100" t="str">
        <f>VLOOKUP(A32,評估分區面積與中位值年耗電量計算!A28:O39,8,FALSE)</f>
        <v/>
      </c>
      <c r="E32" s="100" t="str">
        <f>VLOOKUP(A32,評估分區面積與中位值年耗電量計算!A28:O39,10,FALSE)</f>
        <v/>
      </c>
      <c r="F32" s="100" t="str">
        <f>IF(A32&lt;&gt;"",BERSe評估總表!$F$8,"")</f>
        <v/>
      </c>
      <c r="G32" s="100" t="str">
        <f>VLOOKUP(A32,評估分區面積與中位值年耗電量計算!A28:O39,15,FALSE)</f>
        <v/>
      </c>
      <c r="H32" s="100" t="str">
        <f>IFERROR(B32*(SUM(C32:E32)*F32*G32),"")</f>
        <v/>
      </c>
      <c r="I32" s="272">
        <f>SUM(C32:E32)</f>
        <v>0</v>
      </c>
    </row>
    <row r="33" spans="1:9">
      <c r="A33" s="104" t="str" cm="1">
        <f t="array" ref="A33">IFERROR(INDEX(評估分區面積與中位值年耗電量計算!$A$28:$A$39,SUM(評估分區面積與中位值年耗電量計算!$Q$28:$Q29)+ROWS($A$32:$A33)),"")</f>
        <v/>
      </c>
      <c r="B33" s="100" t="str">
        <f>VLOOKUP(A33,評估分區面積與中位值年耗電量計算!A29:O40,2,FALSE)</f>
        <v/>
      </c>
      <c r="C33" s="100" t="str">
        <f>VLOOKUP(A33,評估分區面積與中位值年耗電量計算!A29:O40,5,FALSE)</f>
        <v/>
      </c>
      <c r="D33" s="100" t="str">
        <f>VLOOKUP(A33,評估分區面積與中位值年耗電量計算!A29:O40,8,FALSE)</f>
        <v/>
      </c>
      <c r="E33" s="100" t="str">
        <f>VLOOKUP(A33,評估分區面積與中位值年耗電量計算!A29:O40,10,FALSE)</f>
        <v/>
      </c>
      <c r="F33" s="100" t="str">
        <f>IF(A33&lt;&gt;"",BERSe評估總表!$F$8,"")</f>
        <v/>
      </c>
      <c r="G33" s="100" t="str">
        <f>VLOOKUP(A33,評估分區面積與中位值年耗電量計算!A29:O40,15,FALSE)</f>
        <v/>
      </c>
      <c r="H33" s="100" t="str">
        <f t="shared" ref="H33:H43" si="0">IFERROR(B33*(SUM(C33:E33)*F33*G33),"")</f>
        <v/>
      </c>
      <c r="I33" s="272">
        <f t="shared" ref="I33:I44" si="1">SUM(C33:E33)</f>
        <v>0</v>
      </c>
    </row>
    <row r="34" spans="1:9">
      <c r="A34" s="104" t="str" cm="1">
        <f t="array" ref="A34">IFERROR(INDEX(評估分區面積與中位值年耗電量計算!$A$28:$A$39,SUM(評估分區面積與中位值年耗電量計算!$Q$28:$Q30)+ROWS($A$32:$A34)),"")</f>
        <v/>
      </c>
      <c r="B34" s="100" t="str">
        <f>VLOOKUP(A34,評估分區面積與中位值年耗電量計算!A30:O41,2,FALSE)</f>
        <v/>
      </c>
      <c r="C34" s="100" t="str">
        <f>VLOOKUP(A34,評估分區面積與中位值年耗電量計算!A30:O41,5,FALSE)</f>
        <v/>
      </c>
      <c r="D34" s="100" t="str">
        <f>VLOOKUP(A34,評估分區面積與中位值年耗電量計算!A30:O41,8,FALSE)</f>
        <v/>
      </c>
      <c r="E34" s="100" t="str">
        <f>VLOOKUP(A34,評估分區面積與中位值年耗電量計算!A30:O41,10,FALSE)</f>
        <v/>
      </c>
      <c r="F34" s="100" t="str">
        <f>IF(A34&lt;&gt;"",BERSe評估總表!$F$8,"")</f>
        <v/>
      </c>
      <c r="G34" s="100" t="str">
        <f>VLOOKUP(A34,評估分區面積與中位值年耗電量計算!A30:O41,15,FALSE)</f>
        <v/>
      </c>
      <c r="H34" s="100" t="str">
        <f t="shared" si="0"/>
        <v/>
      </c>
      <c r="I34" s="272">
        <f t="shared" si="1"/>
        <v>0</v>
      </c>
    </row>
    <row r="35" spans="1:9">
      <c r="A35" s="104" t="str" cm="1">
        <f t="array" ref="A35">IFERROR(INDEX(評估分區面積與中位值年耗電量計算!$A$28:$A$39,SUM(評估分區面積與中位值年耗電量計算!$Q$28:$Q31)+ROWS($A$32:$A35)),"")</f>
        <v/>
      </c>
      <c r="B35" s="100" t="str">
        <f>VLOOKUP(A35,評估分區面積與中位值年耗電量計算!A31:O42,2,FALSE)</f>
        <v/>
      </c>
      <c r="C35" s="100" t="str">
        <f>VLOOKUP(A35,評估分區面積與中位值年耗電量計算!A31:O42,5,FALSE)</f>
        <v/>
      </c>
      <c r="D35" s="100" t="str">
        <f>VLOOKUP(A35,評估分區面積與中位值年耗電量計算!A31:O42,8,FALSE)</f>
        <v/>
      </c>
      <c r="E35" s="100" t="str">
        <f>VLOOKUP(A35,評估分區面積與中位值年耗電量計算!A31:O42,10,FALSE)</f>
        <v/>
      </c>
      <c r="F35" s="100" t="str">
        <f>IF(A35&lt;&gt;"",BERSe評估總表!$F$8,"")</f>
        <v/>
      </c>
      <c r="G35" s="100" t="str">
        <f>VLOOKUP(A35,評估分區面積與中位值年耗電量計算!A31:O42,15,FALSE)</f>
        <v/>
      </c>
      <c r="H35" s="100" t="str">
        <f t="shared" si="0"/>
        <v/>
      </c>
      <c r="I35" s="272">
        <f t="shared" si="1"/>
        <v>0</v>
      </c>
    </row>
    <row r="36" spans="1:9">
      <c r="A36" s="102" t="str" cm="1">
        <f t="array" ref="A36">IFERROR(INDEX(評估分區面積與中位值年耗電量計算!$A$28:$A$39,SUM(評估分區面積與中位值年耗電量計算!$Q$28:$Q32)+ROWS($A$32:$A36)),"")</f>
        <v/>
      </c>
      <c r="B36" s="100" t="str">
        <f>VLOOKUP(A36,評估分區面積與中位值年耗電量計算!A32:O43,2,FALSE)</f>
        <v/>
      </c>
      <c r="C36" s="100" t="str">
        <f>VLOOKUP(A36,評估分區面積與中位值年耗電量計算!A32:O43,5,FALSE)</f>
        <v/>
      </c>
      <c r="D36" s="100" t="str">
        <f>VLOOKUP(A36,評估分區面積與中位值年耗電量計算!A32:O43,8,FALSE)</f>
        <v/>
      </c>
      <c r="E36" s="100" t="str">
        <f>VLOOKUP(A36,評估分區面積與中位值年耗電量計算!A32:O43,10,FALSE)</f>
        <v/>
      </c>
      <c r="F36" s="100" t="str">
        <f>IF(A36&lt;&gt;"",BERSe評估總表!$F$8,"")</f>
        <v/>
      </c>
      <c r="G36" s="100" t="str">
        <f>VLOOKUP(A36,評估分區面積與中位值年耗電量計算!A32:O43,15,FALSE)</f>
        <v/>
      </c>
      <c r="H36" s="100" t="str">
        <f t="shared" si="0"/>
        <v/>
      </c>
      <c r="I36" s="272">
        <f t="shared" si="1"/>
        <v>0</v>
      </c>
    </row>
    <row r="37" spans="1:9">
      <c r="A37" s="102" t="str" cm="1">
        <f t="array" ref="A37">IFERROR(INDEX(評估分區面積與中位值年耗電量計算!$A$28:$A$39,SUM(評估分區面積與中位值年耗電量計算!$Q$28:$Q33)+ROWS($A$32:$A37)),"")</f>
        <v/>
      </c>
      <c r="B37" s="100" t="str">
        <f>VLOOKUP(A37,評估分區面積與中位值年耗電量計算!A33:O44,2,FALSE)</f>
        <v/>
      </c>
      <c r="C37" s="100" t="str">
        <f>VLOOKUP(A37,評估分區面積與中位值年耗電量計算!A33:O44,5,FALSE)</f>
        <v/>
      </c>
      <c r="D37" s="100" t="str">
        <f>VLOOKUP(A37,評估分區面積與中位值年耗電量計算!A33:O44,8,FALSE)</f>
        <v/>
      </c>
      <c r="E37" s="100" t="str">
        <f>VLOOKUP(A37,評估分區面積與中位值年耗電量計算!A33:O44,10,FALSE)</f>
        <v/>
      </c>
      <c r="F37" s="100" t="str">
        <f>IF(A37&lt;&gt;"",BERSe評估總表!$F$8,"")</f>
        <v/>
      </c>
      <c r="G37" s="100" t="str">
        <f>VLOOKUP(A37,評估分區面積與中位值年耗電量計算!A33:O44,15,FALSE)</f>
        <v/>
      </c>
      <c r="H37" s="100" t="str">
        <f t="shared" si="0"/>
        <v/>
      </c>
      <c r="I37" s="272">
        <f t="shared" si="1"/>
        <v>0</v>
      </c>
    </row>
    <row r="38" spans="1:9">
      <c r="A38" s="102" t="str" cm="1">
        <f t="array" ref="A38">IFERROR(INDEX(評估分區面積與中位值年耗電量計算!$A$28:$A$39,SUM(評估分區面積與中位值年耗電量計算!$Q$28:$Q34)+ROWS($A$32:$A38)),"")</f>
        <v/>
      </c>
      <c r="B38" s="100" t="str">
        <f>VLOOKUP(A38,評估分區面積與中位值年耗電量計算!A34:O45,2,FALSE)</f>
        <v/>
      </c>
      <c r="C38" s="100" t="str">
        <f>VLOOKUP(A38,評估分區面積與中位值年耗電量計算!A34:O45,5,FALSE)</f>
        <v/>
      </c>
      <c r="D38" s="100" t="str">
        <f>VLOOKUP(A38,評估分區面積與中位值年耗電量計算!A34:O45,8,FALSE)</f>
        <v/>
      </c>
      <c r="E38" s="100" t="str">
        <f>VLOOKUP(A38,評估分區面積與中位值年耗電量計算!A34:O45,10,FALSE)</f>
        <v/>
      </c>
      <c r="F38" s="100" t="str">
        <f>IF(A38&lt;&gt;"",BERSe評估總表!$F$8,"")</f>
        <v/>
      </c>
      <c r="G38" s="100" t="str">
        <f>VLOOKUP(A38,評估分區面積與中位值年耗電量計算!A34:O45,15,FALSE)</f>
        <v/>
      </c>
      <c r="H38" s="100" t="str">
        <f t="shared" si="0"/>
        <v/>
      </c>
      <c r="I38" s="272">
        <f t="shared" si="1"/>
        <v>0</v>
      </c>
    </row>
    <row r="39" spans="1:9">
      <c r="A39" s="102" t="str" cm="1">
        <f t="array" ref="A39">IFERROR(INDEX(評估分區面積與中位值年耗電量計算!$A$28:$A$39,SUM(評估分區面積與中位值年耗電量計算!$Q$28:$Q35)+ROWS($A$32:$A39)),"")</f>
        <v/>
      </c>
      <c r="B39" s="100" t="str">
        <f>VLOOKUP(A39,評估分區面積與中位值年耗電量計算!A35:O46,2,FALSE)</f>
        <v/>
      </c>
      <c r="C39" s="100" t="str">
        <f>VLOOKUP(A39,評估分區面積與中位值年耗電量計算!A35:O46,5,FALSE)</f>
        <v/>
      </c>
      <c r="D39" s="100" t="str">
        <f>VLOOKUP(A39,評估分區面積與中位值年耗電量計算!A35:O46,8,FALSE)</f>
        <v/>
      </c>
      <c r="E39" s="100" t="str">
        <f>VLOOKUP(A39,評估分區面積與中位值年耗電量計算!A35:O46,10,FALSE)</f>
        <v/>
      </c>
      <c r="F39" s="100" t="str">
        <f>IF(A39&lt;&gt;"",BERSe評估總表!$F$8,"")</f>
        <v/>
      </c>
      <c r="G39" s="100" t="str">
        <f>VLOOKUP(A39,評估分區面積與中位值年耗電量計算!A35:O46,15,FALSE)</f>
        <v/>
      </c>
      <c r="H39" s="100" t="str">
        <f t="shared" si="0"/>
        <v/>
      </c>
      <c r="I39" s="272">
        <f t="shared" si="1"/>
        <v>0</v>
      </c>
    </row>
    <row r="40" spans="1:9">
      <c r="A40" s="102" t="str" cm="1">
        <f t="array" ref="A40">IFERROR(INDEX(評估分區面積與中位值年耗電量計算!$A$28:$A$39,SUM(評估分區面積與中位值年耗電量計算!$Q$28:$Q36)+ROWS($A$32:$A40)),"")</f>
        <v/>
      </c>
      <c r="B40" s="100" t="str">
        <f>VLOOKUP(A40,評估分區面積與中位值年耗電量計算!A36:O47,2,FALSE)</f>
        <v/>
      </c>
      <c r="C40" s="100" t="str">
        <f>VLOOKUP(A40,評估分區面積與中位值年耗電量計算!A36:O47,5,FALSE)</f>
        <v/>
      </c>
      <c r="D40" s="100" t="str">
        <f>VLOOKUP(A40,評估分區面積與中位值年耗電量計算!A36:O47,8,FALSE)</f>
        <v/>
      </c>
      <c r="E40" s="100" t="str">
        <f>VLOOKUP(A40,評估分區面積與中位值年耗電量計算!A36:O47,10,FALSE)</f>
        <v/>
      </c>
      <c r="F40" s="100" t="str">
        <f>IF(A40&lt;&gt;"",BERSe評估總表!$F$8,"")</f>
        <v/>
      </c>
      <c r="G40" s="100" t="str">
        <f>VLOOKUP(A40,評估分區面積與中位值年耗電量計算!A36:O47,15,FALSE)</f>
        <v/>
      </c>
      <c r="H40" s="100" t="str">
        <f t="shared" si="0"/>
        <v/>
      </c>
      <c r="I40" s="272">
        <f t="shared" si="1"/>
        <v>0</v>
      </c>
    </row>
    <row r="41" spans="1:9">
      <c r="A41" s="102" t="str" cm="1">
        <f t="array" ref="A41">IFERROR(INDEX(評估分區面積與中位值年耗電量計算!$A$28:$A$39,SUM(評估分區面積與中位值年耗電量計算!$Q$28:$Q37)+ROWS($A$32:$A41)),"")</f>
        <v/>
      </c>
      <c r="B41" s="100" t="str">
        <f>VLOOKUP(A41,評估分區面積與中位值年耗電量計算!A37:O48,2,FALSE)</f>
        <v/>
      </c>
      <c r="C41" s="100" t="str">
        <f>VLOOKUP(A41,評估分區面積與中位值年耗電量計算!A37:O48,5,FALSE)</f>
        <v/>
      </c>
      <c r="D41" s="100" t="str">
        <f>VLOOKUP(A41,評估分區面積與中位值年耗電量計算!A37:O48,8,FALSE)</f>
        <v/>
      </c>
      <c r="E41" s="100" t="str">
        <f>VLOOKUP(A41,評估分區面積與中位值年耗電量計算!A37:O48,10,FALSE)</f>
        <v/>
      </c>
      <c r="F41" s="100" t="str">
        <f>IF(A41&lt;&gt;"",BERSe評估總表!$F$8,"")</f>
        <v/>
      </c>
      <c r="G41" s="100" t="str">
        <f>VLOOKUP(A41,評估分區面積與中位值年耗電量計算!A37:O48,15,FALSE)</f>
        <v/>
      </c>
      <c r="H41" s="100" t="str">
        <f t="shared" si="0"/>
        <v/>
      </c>
      <c r="I41" s="272">
        <f t="shared" si="1"/>
        <v>0</v>
      </c>
    </row>
    <row r="42" spans="1:9">
      <c r="A42" s="102" t="str" cm="1">
        <f t="array" ref="A42">IFERROR(INDEX(評估分區面積與中位值年耗電量計算!$A$28:$A$39,SUM(評估分區面積與中位值年耗電量計算!$Q$28:$Q38)+ROWS($A$32:$A42)),"")</f>
        <v/>
      </c>
      <c r="B42" s="100" t="str">
        <f>VLOOKUP(A42,評估分區面積與中位值年耗電量計算!A38:O49,2,FALSE)</f>
        <v/>
      </c>
      <c r="C42" s="100" t="str">
        <f>VLOOKUP(A42,評估分區面積與中位值年耗電量計算!A38:O49,5,FALSE)</f>
        <v/>
      </c>
      <c r="D42" s="100" t="str">
        <f>VLOOKUP(A42,評估分區面積與中位值年耗電量計算!A38:O49,8,FALSE)</f>
        <v/>
      </c>
      <c r="E42" s="100" t="str">
        <f>VLOOKUP(A42,評估分區面積與中位值年耗電量計算!A38:O49,10,FALSE)</f>
        <v/>
      </c>
      <c r="F42" s="100" t="str">
        <f>IF(A42&lt;&gt;"",BERSe評估總表!$F$8,"")</f>
        <v/>
      </c>
      <c r="G42" s="100" t="str">
        <f>VLOOKUP(A42,評估分區面積與中位值年耗電量計算!A38:O49,15,FALSE)</f>
        <v/>
      </c>
      <c r="H42" s="100" t="str">
        <f t="shared" si="0"/>
        <v/>
      </c>
      <c r="I42" s="272">
        <f t="shared" si="1"/>
        <v>0</v>
      </c>
    </row>
    <row r="43" spans="1:9">
      <c r="A43" s="102" t="str" cm="1">
        <f t="array" ref="A43">IFERROR(INDEX(評估分區面積與中位值年耗電量計算!$A$28:$A$39,SUM(評估分區面積與中位值年耗電量計算!$Q$28:$Q39)+ROWS($A$32:$A43)),"")</f>
        <v/>
      </c>
      <c r="B43" s="100" t="str">
        <f>VLOOKUP(A43,評估分區面積與中位值年耗電量計算!A39:O50,2,FALSE)</f>
        <v/>
      </c>
      <c r="C43" s="100" t="str">
        <f>VLOOKUP(A43,評估分區面積與中位值年耗電量計算!A39:O50,5,FALSE)</f>
        <v/>
      </c>
      <c r="D43" s="100" t="str">
        <f>VLOOKUP(A43,評估分區面積與中位值年耗電量計算!A39:O50,8,FALSE)</f>
        <v/>
      </c>
      <c r="E43" s="100" t="str">
        <f>VLOOKUP(A43,評估分區面積與中位值年耗電量計算!A39:O50,10,FALSE)</f>
        <v/>
      </c>
      <c r="F43" s="100" t="str">
        <f>IF(A43&lt;&gt;"",BERSe評估總表!$F$8,"")</f>
        <v/>
      </c>
      <c r="G43" s="100" t="str">
        <f>VLOOKUP(A43,評估分區面積與中位值年耗電量計算!A39:O50,15,FALSE)</f>
        <v/>
      </c>
      <c r="H43" s="100" t="str">
        <f t="shared" si="0"/>
        <v/>
      </c>
      <c r="I43" s="272">
        <f t="shared" si="1"/>
        <v>0</v>
      </c>
    </row>
    <row r="44" spans="1:9" ht="16" customHeight="1">
      <c r="A44" s="103" t="s">
        <v>1188</v>
      </c>
      <c r="B44" s="100">
        <f>評估分區面積與中位值年耗電量計算!B40</f>
        <v>123</v>
      </c>
      <c r="C44" s="100">
        <f>評估分區面積與中位值年耗電量計算!E40</f>
        <v>48.1</v>
      </c>
      <c r="D44" s="100">
        <f>評估分區面積與中位值年耗電量計算!H40</f>
        <v>31.61</v>
      </c>
      <c r="E44" s="100">
        <f>評估分區面積與中位值年耗電量計算!J40</f>
        <v>16.93</v>
      </c>
      <c r="F44" s="100">
        <f>IF(A44&lt;&gt;"",BERSe評估總表!$F$8,"")</f>
        <v>1</v>
      </c>
      <c r="G44" s="100"/>
      <c r="H44" s="100">
        <f>SUM(H32:H43)</f>
        <v>0</v>
      </c>
      <c r="I44" s="272">
        <f t="shared" si="1"/>
        <v>96.640000000000015</v>
      </c>
    </row>
    <row r="45" spans="1:9" ht="16" customHeight="1">
      <c r="A45" s="154" t="s">
        <v>124</v>
      </c>
      <c r="B45" s="154"/>
      <c r="C45" s="154"/>
      <c r="D45" s="154"/>
      <c r="E45" s="154"/>
      <c r="F45" s="154"/>
      <c r="G45" s="8"/>
      <c r="H45" s="20" t="s">
        <v>132</v>
      </c>
    </row>
    <row r="46" spans="1:9" ht="16" customHeight="1">
      <c r="A46" s="154" t="s">
        <v>42</v>
      </c>
      <c r="B46" s="154"/>
      <c r="C46" s="100">
        <f>B7</f>
        <v>0</v>
      </c>
      <c r="D46" s="20" t="s">
        <v>23</v>
      </c>
      <c r="E46" s="154" t="s">
        <v>43</v>
      </c>
      <c r="F46" s="154"/>
      <c r="G46" s="100">
        <f>免評估設備!F1</f>
        <v>0</v>
      </c>
      <c r="H46" s="20" t="s">
        <v>132</v>
      </c>
    </row>
    <row r="47" spans="1:9" ht="16" customHeight="1">
      <c r="A47" s="154" t="s">
        <v>44</v>
      </c>
      <c r="B47" s="154"/>
      <c r="C47" s="100">
        <f>免評估設備!F11</f>
        <v>41.971535999999993</v>
      </c>
      <c r="D47" s="20" t="s">
        <v>23</v>
      </c>
      <c r="E47" s="154" t="s">
        <v>45</v>
      </c>
      <c r="F47" s="154"/>
      <c r="G47" s="100">
        <f>免評估設備!F26</f>
        <v>0</v>
      </c>
      <c r="H47" s="20" t="s">
        <v>132</v>
      </c>
    </row>
    <row r="48" spans="1:9">
      <c r="A48" s="154" t="s">
        <v>46</v>
      </c>
      <c r="B48" s="154"/>
      <c r="C48" s="100">
        <f>B8</f>
        <v>0</v>
      </c>
      <c r="D48" s="20" t="s">
        <v>23</v>
      </c>
      <c r="E48" s="163"/>
      <c r="F48" s="163"/>
      <c r="G48" s="8"/>
      <c r="H48" s="20"/>
    </row>
    <row r="49" spans="1:8" ht="16" customHeight="1">
      <c r="A49" s="154" t="s">
        <v>123</v>
      </c>
      <c r="B49" s="154"/>
      <c r="C49" s="154"/>
      <c r="D49" s="154"/>
      <c r="E49" s="154"/>
      <c r="F49" s="154"/>
      <c r="G49" s="100">
        <f>C46/(B44+B28)</f>
        <v>0</v>
      </c>
      <c r="H49" s="20" t="s">
        <v>133</v>
      </c>
    </row>
    <row r="50" spans="1:8" ht="16" customHeight="1">
      <c r="A50" s="154" t="s">
        <v>122</v>
      </c>
      <c r="B50" s="154"/>
      <c r="C50" s="154"/>
      <c r="D50" s="154"/>
      <c r="E50" s="154"/>
      <c r="F50" s="154"/>
      <c r="G50" s="100">
        <f>(C46-F8*(H28+G46+C47+G47)-C48)/B44</f>
        <v>-389.71196370731701</v>
      </c>
      <c r="H50" s="20" t="s">
        <v>133</v>
      </c>
    </row>
    <row r="51" spans="1:8" ht="16" customHeight="1">
      <c r="A51" s="141" t="s">
        <v>106</v>
      </c>
      <c r="B51" s="141"/>
      <c r="C51" s="141"/>
      <c r="D51" s="141"/>
      <c r="E51" s="141"/>
      <c r="F51" s="141"/>
      <c r="G51" s="141"/>
      <c r="H51" s="141"/>
    </row>
    <row r="52" spans="1:8" ht="16" customHeight="1">
      <c r="A52" s="154" t="s">
        <v>115</v>
      </c>
      <c r="B52" s="154"/>
      <c r="C52" s="100">
        <f>F8*(評估分區面積與中位值年耗電量計算!D40+評估分區面積與中位值年耗電量計算!G40+評估分區面積與中位值年耗電量計算!J40)</f>
        <v>63.98</v>
      </c>
      <c r="D52" s="20" t="s">
        <v>133</v>
      </c>
      <c r="E52" s="154" t="s">
        <v>116</v>
      </c>
      <c r="F52" s="154"/>
      <c r="G52" s="100">
        <f>F8*(0.8*評估分區面積與中位值年耗電量計算!E40+0.8*評估分區面積與中位值年耗電量計算!H40+評估分區面積與中位值年耗電量計算!J40)</f>
        <v>80.698000000000008</v>
      </c>
      <c r="H52" s="20" t="s">
        <v>133</v>
      </c>
    </row>
    <row r="53" spans="1:8" ht="16" customHeight="1">
      <c r="A53" s="154" t="s">
        <v>117</v>
      </c>
      <c r="B53" s="154"/>
      <c r="C53" s="100">
        <f>F8*(評估分區面積與中位值年耗電量計算!E40+評估分區面積與中位值年耗電量計算!H40+評估分區面積與中位值年耗電量計算!J40)</f>
        <v>96.640000000000015</v>
      </c>
      <c r="D53" s="20" t="s">
        <v>133</v>
      </c>
      <c r="E53" s="154" t="s">
        <v>118</v>
      </c>
      <c r="F53" s="154"/>
      <c r="G53" s="100">
        <f>F8*(評估分區面積與中位值年耗電量計算!F40+評估分區面積與中位值年耗電量計算!I40+評估分區面積與中位值年耗電量計算!J40)</f>
        <v>140.99</v>
      </c>
      <c r="H53" s="20" t="s">
        <v>133</v>
      </c>
    </row>
    <row r="54" spans="1:8" ht="16" customHeight="1">
      <c r="A54" s="154" t="s">
        <v>121</v>
      </c>
      <c r="B54" s="154"/>
      <c r="C54" s="154"/>
      <c r="D54" s="154"/>
      <c r="E54" s="154"/>
      <c r="F54" s="154"/>
      <c r="G54" s="100">
        <f>G50-F8*SUMPRODUCT(I32:I43,G32:G43,B32:B43)/B44</f>
        <v>-389.71196370731701</v>
      </c>
      <c r="H54" s="20" t="s">
        <v>133</v>
      </c>
    </row>
    <row r="55" spans="1:8" ht="17" customHeight="1">
      <c r="A55" s="155" t="s">
        <v>119</v>
      </c>
      <c r="B55" s="155"/>
      <c r="C55" s="155"/>
      <c r="D55" s="155"/>
      <c r="E55" s="155"/>
      <c r="F55" s="155"/>
      <c r="G55" s="100">
        <f>C53+G54</f>
        <v>-293.07196370731697</v>
      </c>
      <c r="H55" s="20" t="s">
        <v>133</v>
      </c>
    </row>
    <row r="56" spans="1:8" ht="16" customHeight="1">
      <c r="A56" s="155" t="s">
        <v>434</v>
      </c>
      <c r="B56" s="155"/>
      <c r="C56" s="155"/>
      <c r="D56" s="155"/>
      <c r="E56" s="155"/>
      <c r="F56" s="155"/>
      <c r="G56" s="100">
        <f>G55*0.495</f>
        <v>-145.07062203512189</v>
      </c>
      <c r="H56" s="20" t="s">
        <v>134</v>
      </c>
    </row>
    <row r="57" spans="1:8">
      <c r="A57" s="151" t="s">
        <v>120</v>
      </c>
      <c r="B57" s="151"/>
      <c r="C57" s="151"/>
      <c r="D57" s="151"/>
      <c r="E57" s="151"/>
      <c r="F57" s="151"/>
      <c r="G57" s="100">
        <f>IF(G55&lt;=G52,50+50*(G52-G55)/(G52-C52),50*(G53-G55)/(G53-G52))</f>
        <v>1167.8668611894864</v>
      </c>
      <c r="H57" s="21" t="s">
        <v>135</v>
      </c>
    </row>
    <row r="58" spans="1:8" ht="17" customHeight="1">
      <c r="A58" s="151" t="s">
        <v>107</v>
      </c>
      <c r="B58" s="151"/>
      <c r="C58" s="151"/>
      <c r="D58" s="151"/>
      <c r="E58" s="151"/>
      <c r="F58" s="151"/>
      <c r="G58" s="101" t="str">
        <f>IF(G57&gt;=90,"1+",IF(G57&gt;=80,"1",IF(G57&gt;=70,"2",IF(G57&gt;=60,"3",IF(G57&gt;=50,"4",IF(G57&gt;=40,"5",IF(G57&gt;=20,"6","7")))))))</f>
        <v>1+</v>
      </c>
      <c r="H58" s="22" t="s">
        <v>136</v>
      </c>
    </row>
    <row r="59" spans="1:8">
      <c r="A59" s="4"/>
      <c r="B59" s="4"/>
      <c r="C59" s="4"/>
      <c r="D59" s="4"/>
    </row>
  </sheetData>
  <mergeCells count="64">
    <mergeCell ref="C25:G25"/>
    <mergeCell ref="C21:G21"/>
    <mergeCell ref="C22:G22"/>
    <mergeCell ref="C18:G18"/>
    <mergeCell ref="C19:G19"/>
    <mergeCell ref="C20:G20"/>
    <mergeCell ref="C23:G23"/>
    <mergeCell ref="C24:G24"/>
    <mergeCell ref="A53:B53"/>
    <mergeCell ref="C26:G26"/>
    <mergeCell ref="C27:G27"/>
    <mergeCell ref="C28:G28"/>
    <mergeCell ref="A50:F50"/>
    <mergeCell ref="E53:F53"/>
    <mergeCell ref="G30:G31"/>
    <mergeCell ref="E48:F48"/>
    <mergeCell ref="A30:A31"/>
    <mergeCell ref="C30:C31"/>
    <mergeCell ref="D30:D31"/>
    <mergeCell ref="F30:F31"/>
    <mergeCell ref="A45:F45"/>
    <mergeCell ref="A47:B47"/>
    <mergeCell ref="A46:B46"/>
    <mergeCell ref="A49:F49"/>
    <mergeCell ref="A1:H1"/>
    <mergeCell ref="A2:H2"/>
    <mergeCell ref="B3:H3"/>
    <mergeCell ref="B4:H4"/>
    <mergeCell ref="B5:C5"/>
    <mergeCell ref="F5:G5"/>
    <mergeCell ref="B6:C6"/>
    <mergeCell ref="B7:C7"/>
    <mergeCell ref="B8:C8"/>
    <mergeCell ref="F12:H12"/>
    <mergeCell ref="C11:E11"/>
    <mergeCell ref="C12:E12"/>
    <mergeCell ref="E46:F46"/>
    <mergeCell ref="C16:G16"/>
    <mergeCell ref="E47:F47"/>
    <mergeCell ref="C17:G17"/>
    <mergeCell ref="A14:A15"/>
    <mergeCell ref="A58:F58"/>
    <mergeCell ref="A10:B10"/>
    <mergeCell ref="A11:B11"/>
    <mergeCell ref="A12:B12"/>
    <mergeCell ref="A57:F57"/>
    <mergeCell ref="A54:F54"/>
    <mergeCell ref="A55:F55"/>
    <mergeCell ref="A56:F56"/>
    <mergeCell ref="A51:H51"/>
    <mergeCell ref="A52:B52"/>
    <mergeCell ref="E52:F52"/>
    <mergeCell ref="A29:H29"/>
    <mergeCell ref="A48:B48"/>
    <mergeCell ref="F11:H11"/>
    <mergeCell ref="N1:O1"/>
    <mergeCell ref="A13:H13"/>
    <mergeCell ref="C14:G14"/>
    <mergeCell ref="C15:G15"/>
    <mergeCell ref="F7:G7"/>
    <mergeCell ref="F6:G6"/>
    <mergeCell ref="F8:G8"/>
    <mergeCell ref="A9:H9"/>
    <mergeCell ref="C10:G10"/>
  </mergeCells>
  <phoneticPr fontId="7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8BF6-2001-3344-96DC-2013569ACE2B}">
  <dimension ref="A1:M19"/>
  <sheetViews>
    <sheetView workbookViewId="0">
      <selection activeCell="G16" sqref="G16"/>
    </sheetView>
  </sheetViews>
  <sheetFormatPr baseColWidth="10" defaultRowHeight="16"/>
  <sheetData>
    <row r="1" spans="1:13" ht="17" thickBot="1">
      <c r="A1" s="164" t="s">
        <v>380</v>
      </c>
      <c r="B1" s="165"/>
      <c r="C1" s="165"/>
      <c r="D1" s="165"/>
      <c r="E1" s="165"/>
      <c r="F1" s="166"/>
      <c r="H1" s="164" t="s">
        <v>379</v>
      </c>
      <c r="I1" s="165"/>
      <c r="J1" s="165"/>
      <c r="K1" s="165"/>
      <c r="L1" s="165"/>
      <c r="M1" s="166"/>
    </row>
    <row r="2" spans="1:13" ht="17" thickBot="1">
      <c r="A2" s="167"/>
      <c r="B2" s="169" t="s">
        <v>47</v>
      </c>
      <c r="C2" s="170"/>
      <c r="D2" s="170"/>
      <c r="E2" s="171"/>
      <c r="F2" s="172" t="s">
        <v>48</v>
      </c>
      <c r="H2" s="167"/>
      <c r="I2" s="169" t="s">
        <v>47</v>
      </c>
      <c r="J2" s="170"/>
      <c r="K2" s="170"/>
      <c r="L2" s="171"/>
      <c r="M2" s="172" t="s">
        <v>48</v>
      </c>
    </row>
    <row r="3" spans="1:13" ht="17" thickBot="1">
      <c r="A3" s="168"/>
      <c r="B3" s="174" t="str">
        <f>填表!B2&amp;"年"</f>
        <v>年</v>
      </c>
      <c r="C3" s="175"/>
      <c r="D3" s="174" t="str">
        <f>填表!D2&amp;"年"</f>
        <v>年</v>
      </c>
      <c r="E3" s="175"/>
      <c r="F3" s="172"/>
      <c r="H3" s="168"/>
      <c r="I3" s="174" t="str">
        <f>填表!B2&amp;"年"</f>
        <v>年</v>
      </c>
      <c r="J3" s="175"/>
      <c r="K3" s="174" t="str">
        <f>填表!D2&amp;"年"</f>
        <v>年</v>
      </c>
      <c r="L3" s="175"/>
      <c r="M3" s="172"/>
    </row>
    <row r="4" spans="1:13" ht="17" thickBot="1">
      <c r="A4" s="179" t="s">
        <v>141</v>
      </c>
      <c r="B4" s="24" t="s">
        <v>49</v>
      </c>
      <c r="C4" s="24" t="s">
        <v>50</v>
      </c>
      <c r="D4" s="24" t="s">
        <v>49</v>
      </c>
      <c r="E4" s="24" t="s">
        <v>50</v>
      </c>
      <c r="F4" s="173"/>
      <c r="H4" s="179" t="s">
        <v>141</v>
      </c>
      <c r="I4" s="24" t="s">
        <v>157</v>
      </c>
      <c r="J4" s="24" t="s">
        <v>50</v>
      </c>
      <c r="K4" s="24" t="s">
        <v>157</v>
      </c>
      <c r="L4" s="24" t="s">
        <v>50</v>
      </c>
      <c r="M4" s="173"/>
    </row>
    <row r="5" spans="1:13" ht="17" thickBot="1">
      <c r="A5" s="180"/>
      <c r="B5" s="24" t="s">
        <v>154</v>
      </c>
      <c r="C5" s="24" t="s">
        <v>155</v>
      </c>
      <c r="D5" s="24" t="s">
        <v>154</v>
      </c>
      <c r="E5" s="24" t="s">
        <v>155</v>
      </c>
      <c r="F5" s="26" t="s">
        <v>156</v>
      </c>
      <c r="H5" s="180"/>
      <c r="I5" s="24" t="s">
        <v>154</v>
      </c>
      <c r="J5" s="24" t="s">
        <v>155</v>
      </c>
      <c r="K5" s="24" t="s">
        <v>154</v>
      </c>
      <c r="L5" s="24" t="s">
        <v>155</v>
      </c>
      <c r="M5" s="26" t="s">
        <v>156</v>
      </c>
    </row>
    <row r="6" spans="1:13" ht="17" thickBot="1">
      <c r="A6" s="27" t="s">
        <v>51</v>
      </c>
      <c r="B6" s="25">
        <f>填表!B3+填表!B4</f>
        <v>0</v>
      </c>
      <c r="C6" s="45">
        <f>B6/59</f>
        <v>0</v>
      </c>
      <c r="D6" s="25">
        <f>填表!D3+填表!D4</f>
        <v>0</v>
      </c>
      <c r="E6" s="45">
        <f>D6/59</f>
        <v>0</v>
      </c>
      <c r="F6" s="46" t="e">
        <f>ABS(B6-D6)/MAX(D6,B6)</f>
        <v>#DIV/0!</v>
      </c>
      <c r="H6" s="27" t="s">
        <v>142</v>
      </c>
      <c r="I6" s="47">
        <f>填表!B3</f>
        <v>0</v>
      </c>
      <c r="J6" s="48">
        <f>I6/31</f>
        <v>0</v>
      </c>
      <c r="K6" s="47">
        <f>填表!D3</f>
        <v>0</v>
      </c>
      <c r="L6" s="48">
        <f>K6/31</f>
        <v>0</v>
      </c>
      <c r="M6" s="46" t="e">
        <f>ABS(I6-K6)/MAX(K6,I6)</f>
        <v>#DIV/0!</v>
      </c>
    </row>
    <row r="7" spans="1:13" ht="17" thickBot="1">
      <c r="A7" s="27" t="s">
        <v>52</v>
      </c>
      <c r="B7" s="25">
        <f>填表!B5+填表!B6</f>
        <v>0</v>
      </c>
      <c r="C7" s="45">
        <f t="shared" ref="C7:C11" si="0">B7/59</f>
        <v>0</v>
      </c>
      <c r="D7" s="25">
        <f>填表!D5+填表!D6</f>
        <v>0</v>
      </c>
      <c r="E7" s="45">
        <f>D7/61</f>
        <v>0</v>
      </c>
      <c r="F7" s="46" t="e">
        <f t="shared" ref="F7:F10" si="1">ABS(B7-D7)/MAX(D7,B7)</f>
        <v>#DIV/0!</v>
      </c>
      <c r="H7" s="27" t="s">
        <v>143</v>
      </c>
      <c r="I7" s="47">
        <f>填表!B4</f>
        <v>0</v>
      </c>
      <c r="J7" s="48">
        <f>I7/28</f>
        <v>0</v>
      </c>
      <c r="K7" s="47">
        <f>填表!D4</f>
        <v>0</v>
      </c>
      <c r="L7" s="48">
        <f>K7/28</f>
        <v>0</v>
      </c>
      <c r="M7" s="46" t="e">
        <f>ABS(I7-K7)/MAX(K7,I7)</f>
        <v>#DIV/0!</v>
      </c>
    </row>
    <row r="8" spans="1:13" ht="17" thickBot="1">
      <c r="A8" s="27" t="s">
        <v>53</v>
      </c>
      <c r="B8" s="25">
        <f>填表!B7+填表!B8</f>
        <v>0</v>
      </c>
      <c r="C8" s="45">
        <f t="shared" si="0"/>
        <v>0</v>
      </c>
      <c r="D8" s="25">
        <f>填表!D7+填表!D8</f>
        <v>0</v>
      </c>
      <c r="E8" s="45">
        <f>D8/61</f>
        <v>0</v>
      </c>
      <c r="F8" s="46" t="e">
        <f t="shared" si="1"/>
        <v>#DIV/0!</v>
      </c>
      <c r="H8" s="27" t="s">
        <v>144</v>
      </c>
      <c r="I8" s="47">
        <f>填表!B5</f>
        <v>0</v>
      </c>
      <c r="J8" s="48">
        <f>I8/31</f>
        <v>0</v>
      </c>
      <c r="K8" s="47">
        <f>填表!D5</f>
        <v>0</v>
      </c>
      <c r="L8" s="48">
        <f>K8/31</f>
        <v>0</v>
      </c>
      <c r="M8" s="46" t="e">
        <f t="shared" ref="M8:M18" si="2">ABS(I8-K8)/MAX(K8,I8)</f>
        <v>#DIV/0!</v>
      </c>
    </row>
    <row r="9" spans="1:13" ht="17" thickBot="1">
      <c r="A9" s="27" t="s">
        <v>54</v>
      </c>
      <c r="B9" s="25">
        <f>填表!B9+填表!B10</f>
        <v>0</v>
      </c>
      <c r="C9" s="45">
        <f t="shared" si="0"/>
        <v>0</v>
      </c>
      <c r="D9" s="25">
        <f>填表!D9+填表!D10</f>
        <v>0</v>
      </c>
      <c r="E9" s="45">
        <f>D9/62</f>
        <v>0</v>
      </c>
      <c r="F9" s="46" t="e">
        <f>ABS(B9-D9)/MAX(D9,B9)</f>
        <v>#DIV/0!</v>
      </c>
      <c r="H9" s="27" t="s">
        <v>145</v>
      </c>
      <c r="I9" s="47">
        <f>填表!B6</f>
        <v>0</v>
      </c>
      <c r="J9" s="48">
        <f>I9/30</f>
        <v>0</v>
      </c>
      <c r="K9" s="47">
        <f>填表!D6</f>
        <v>0</v>
      </c>
      <c r="L9" s="48">
        <f>K9/30</f>
        <v>0</v>
      </c>
      <c r="M9" s="46" t="e">
        <f t="shared" si="2"/>
        <v>#DIV/0!</v>
      </c>
    </row>
    <row r="10" spans="1:13" ht="17" thickBot="1">
      <c r="A10" s="27" t="s">
        <v>55</v>
      </c>
      <c r="B10" s="25">
        <f>填表!B11+填表!B12</f>
        <v>0</v>
      </c>
      <c r="C10" s="45">
        <f t="shared" si="0"/>
        <v>0</v>
      </c>
      <c r="D10" s="25">
        <f>填表!D11+填表!D12</f>
        <v>0</v>
      </c>
      <c r="E10" s="45">
        <f>D10/61</f>
        <v>0</v>
      </c>
      <c r="F10" s="46" t="e">
        <f t="shared" si="1"/>
        <v>#DIV/0!</v>
      </c>
      <c r="H10" s="27" t="s">
        <v>146</v>
      </c>
      <c r="I10" s="47">
        <f>填表!B7</f>
        <v>0</v>
      </c>
      <c r="J10" s="48">
        <f>I10/31</f>
        <v>0</v>
      </c>
      <c r="K10" s="47">
        <f>填表!D7</f>
        <v>0</v>
      </c>
      <c r="L10" s="48">
        <f>K10/31</f>
        <v>0</v>
      </c>
      <c r="M10" s="46" t="e">
        <f t="shared" si="2"/>
        <v>#DIV/0!</v>
      </c>
    </row>
    <row r="11" spans="1:13" ht="17" thickBot="1">
      <c r="A11" s="27" t="s">
        <v>56</v>
      </c>
      <c r="B11" s="25">
        <f>填表!B13+填表!B14</f>
        <v>0</v>
      </c>
      <c r="C11" s="45">
        <f t="shared" si="0"/>
        <v>0</v>
      </c>
      <c r="D11" s="25">
        <f>填表!D13+填表!D14</f>
        <v>0</v>
      </c>
      <c r="E11" s="45">
        <f>D11/61</f>
        <v>0</v>
      </c>
      <c r="F11" s="46" t="e">
        <f>ABS(B11-D11)/MAX(D11,B11)</f>
        <v>#DIV/0!</v>
      </c>
      <c r="H11" s="27" t="s">
        <v>147</v>
      </c>
      <c r="I11" s="47">
        <f>填表!B8</f>
        <v>0</v>
      </c>
      <c r="J11" s="48">
        <f t="shared" ref="J11:L11" si="3">I11/30</f>
        <v>0</v>
      </c>
      <c r="K11" s="47">
        <f>填表!D8</f>
        <v>0</v>
      </c>
      <c r="L11" s="48">
        <f t="shared" si="3"/>
        <v>0</v>
      </c>
      <c r="M11" s="46" t="e">
        <f t="shared" si="2"/>
        <v>#DIV/0!</v>
      </c>
    </row>
    <row r="12" spans="1:13" ht="17" thickBot="1">
      <c r="A12" s="27" t="s">
        <v>57</v>
      </c>
      <c r="B12" s="45">
        <f>SUM(B6:B11)</f>
        <v>0</v>
      </c>
      <c r="C12" s="45">
        <f>B12/365</f>
        <v>0</v>
      </c>
      <c r="D12" s="45">
        <f>SUM(D6:D11)</f>
        <v>0</v>
      </c>
      <c r="E12" s="45">
        <f>D12/365</f>
        <v>0</v>
      </c>
      <c r="F12" s="46" t="e">
        <f>ABS(B12-D12)/MAX(D12,B12)</f>
        <v>#DIV/0!</v>
      </c>
      <c r="H12" s="27" t="s">
        <v>148</v>
      </c>
      <c r="I12" s="47">
        <f>填表!B9</f>
        <v>0</v>
      </c>
      <c r="J12" s="48">
        <f>I12/31</f>
        <v>0</v>
      </c>
      <c r="K12" s="47">
        <f>填表!D9</f>
        <v>0</v>
      </c>
      <c r="L12" s="48">
        <f>K12/31</f>
        <v>0</v>
      </c>
      <c r="M12" s="46" t="e">
        <f t="shared" si="2"/>
        <v>#DIV/0!</v>
      </c>
    </row>
    <row r="13" spans="1:13" ht="17" thickBot="1">
      <c r="A13" s="27" t="s">
        <v>58</v>
      </c>
      <c r="B13" s="181">
        <f>B12+D12/2</f>
        <v>0</v>
      </c>
      <c r="C13" s="182"/>
      <c r="D13" s="182"/>
      <c r="E13" s="182"/>
      <c r="F13" s="183"/>
      <c r="H13" s="27" t="s">
        <v>149</v>
      </c>
      <c r="I13" s="47">
        <f>填表!B10</f>
        <v>0</v>
      </c>
      <c r="J13" s="48">
        <f>I13/31</f>
        <v>0</v>
      </c>
      <c r="K13" s="47">
        <f>填表!D10</f>
        <v>0</v>
      </c>
      <c r="L13" s="48">
        <f>K13/31</f>
        <v>0</v>
      </c>
      <c r="M13" s="46" t="e">
        <f t="shared" si="2"/>
        <v>#DIV/0!</v>
      </c>
    </row>
    <row r="14" spans="1:13" ht="17" thickBot="1">
      <c r="H14" s="27" t="s">
        <v>150</v>
      </c>
      <c r="I14" s="47">
        <f>填表!B11</f>
        <v>0</v>
      </c>
      <c r="J14" s="48">
        <f>I14/30</f>
        <v>0</v>
      </c>
      <c r="K14" s="47">
        <f>填表!D11</f>
        <v>0</v>
      </c>
      <c r="L14" s="48">
        <f>K14/30</f>
        <v>0</v>
      </c>
      <c r="M14" s="46" t="e">
        <f t="shared" si="2"/>
        <v>#DIV/0!</v>
      </c>
    </row>
    <row r="15" spans="1:13" ht="17" thickBot="1">
      <c r="H15" s="27" t="s">
        <v>151</v>
      </c>
      <c r="I15" s="47">
        <f>填表!B12</f>
        <v>0</v>
      </c>
      <c r="J15" s="48">
        <f>I15/31</f>
        <v>0</v>
      </c>
      <c r="K15" s="47">
        <f>填表!D12</f>
        <v>0</v>
      </c>
      <c r="L15" s="48">
        <f>K15/31</f>
        <v>0</v>
      </c>
      <c r="M15" s="46" t="e">
        <f t="shared" si="2"/>
        <v>#DIV/0!</v>
      </c>
    </row>
    <row r="16" spans="1:13" ht="17" thickBot="1">
      <c r="H16" s="27" t="s">
        <v>152</v>
      </c>
      <c r="I16" s="47">
        <f>填表!B13</f>
        <v>0</v>
      </c>
      <c r="J16" s="48">
        <f>I16/30</f>
        <v>0</v>
      </c>
      <c r="K16" s="47">
        <f>填表!D13</f>
        <v>0</v>
      </c>
      <c r="L16" s="48">
        <f>K16/30</f>
        <v>0</v>
      </c>
      <c r="M16" s="46" t="e">
        <f t="shared" si="2"/>
        <v>#DIV/0!</v>
      </c>
    </row>
    <row r="17" spans="8:13" ht="17" thickBot="1">
      <c r="H17" s="27" t="s">
        <v>153</v>
      </c>
      <c r="I17" s="47">
        <f>填表!B14</f>
        <v>0</v>
      </c>
      <c r="J17" s="48">
        <f>I17/31</f>
        <v>0</v>
      </c>
      <c r="K17" s="47">
        <f>填表!D14</f>
        <v>0</v>
      </c>
      <c r="L17" s="48">
        <f>K17/31</f>
        <v>0</v>
      </c>
      <c r="M17" s="46" t="e">
        <f t="shared" si="2"/>
        <v>#DIV/0!</v>
      </c>
    </row>
    <row r="18" spans="8:13" ht="17" thickBot="1">
      <c r="H18" s="27" t="s">
        <v>57</v>
      </c>
      <c r="I18" s="48">
        <f>SUM(I6:I17)</f>
        <v>0</v>
      </c>
      <c r="J18" s="48">
        <f>I18/365</f>
        <v>0</v>
      </c>
      <c r="K18" s="48">
        <f t="shared" ref="K18" si="4">SUM(K6:K17)</f>
        <v>0</v>
      </c>
      <c r="L18" s="48">
        <f>K18/365</f>
        <v>0</v>
      </c>
      <c r="M18" s="46" t="e">
        <f t="shared" si="2"/>
        <v>#DIV/0!</v>
      </c>
    </row>
    <row r="19" spans="8:13" ht="17" thickBot="1">
      <c r="H19" s="27" t="s">
        <v>58</v>
      </c>
      <c r="I19" s="176">
        <f>(I18+K18)/2</f>
        <v>0</v>
      </c>
      <c r="J19" s="177"/>
      <c r="K19" s="177"/>
      <c r="L19" s="177"/>
      <c r="M19" s="178"/>
    </row>
  </sheetData>
  <mergeCells count="16">
    <mergeCell ref="I19:M19"/>
    <mergeCell ref="H4:H5"/>
    <mergeCell ref="A2:A3"/>
    <mergeCell ref="B2:E2"/>
    <mergeCell ref="F2:F4"/>
    <mergeCell ref="B3:C3"/>
    <mergeCell ref="D3:E3"/>
    <mergeCell ref="B13:F13"/>
    <mergeCell ref="A4:A5"/>
    <mergeCell ref="H1:M1"/>
    <mergeCell ref="A1:F1"/>
    <mergeCell ref="H2:H3"/>
    <mergeCell ref="I2:L2"/>
    <mergeCell ref="M2:M4"/>
    <mergeCell ref="I3:J3"/>
    <mergeCell ref="K3:L3"/>
  </mergeCells>
  <phoneticPr fontId="7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378A9-CAEC-F34D-9667-7FCD0F377BF1}">
  <dimension ref="A1:S49"/>
  <sheetViews>
    <sheetView topLeftCell="A20" zoomScale="115" workbookViewId="0">
      <selection activeCell="H30" sqref="H30"/>
    </sheetView>
  </sheetViews>
  <sheetFormatPr baseColWidth="10" defaultColWidth="14.42578125" defaultRowHeight="16"/>
  <cols>
    <col min="1" max="1" width="22.140625" style="60" customWidth="1"/>
    <col min="2" max="14" width="14.42578125" style="60"/>
    <col min="15" max="16" width="11.5703125" style="60" customWidth="1"/>
    <col min="17" max="18" width="5.28515625" style="60" customWidth="1"/>
    <col min="19" max="16384" width="14.42578125" style="60"/>
  </cols>
  <sheetData>
    <row r="1" spans="1:5" ht="17" customHeight="1" thickBot="1">
      <c r="A1" s="208" t="s">
        <v>1116</v>
      </c>
      <c r="B1" s="209"/>
      <c r="C1" s="209"/>
      <c r="D1" s="209"/>
      <c r="E1" s="209"/>
    </row>
    <row r="2" spans="1:5" ht="17">
      <c r="A2" s="207" t="s">
        <v>401</v>
      </c>
      <c r="B2" s="49" t="s">
        <v>415</v>
      </c>
      <c r="C2" s="49" t="s">
        <v>20</v>
      </c>
      <c r="D2" s="56" t="s">
        <v>21</v>
      </c>
      <c r="E2" s="49" t="s">
        <v>22</v>
      </c>
    </row>
    <row r="3" spans="1:5" ht="20" thickBot="1">
      <c r="A3" s="203"/>
      <c r="B3" s="49" t="s">
        <v>416</v>
      </c>
      <c r="C3" s="49" t="s">
        <v>385</v>
      </c>
      <c r="D3" s="59" t="s">
        <v>385</v>
      </c>
      <c r="E3" s="49" t="s">
        <v>385</v>
      </c>
    </row>
    <row r="4" spans="1:5" s="63" customFormat="1" ht="36" customHeight="1" thickBot="1">
      <c r="A4" s="65" t="str">
        <f>IFERROR(A28&amp;VLOOKUP(A28,分區計算參數!B:E,4,FALSE),"")</f>
        <v/>
      </c>
      <c r="B4" s="66" t="str">
        <f>B28</f>
        <v/>
      </c>
      <c r="C4" s="64" t="str">
        <f>E28</f>
        <v/>
      </c>
      <c r="D4" s="64" t="str">
        <f>H28</f>
        <v/>
      </c>
      <c r="E4" s="64" t="str">
        <f>J28</f>
        <v/>
      </c>
    </row>
    <row r="5" spans="1:5" s="63" customFormat="1" ht="36" customHeight="1" thickBot="1">
      <c r="A5" s="65" t="str">
        <f>IFERROR(A29&amp;VLOOKUP(A29,分區計算參數!B:E,4,FALSE),"")</f>
        <v/>
      </c>
      <c r="B5" s="66" t="str">
        <f t="shared" ref="B5:B10" si="0">B29</f>
        <v/>
      </c>
      <c r="C5" s="64" t="str">
        <f t="shared" ref="C5:C10" si="1">E29</f>
        <v/>
      </c>
      <c r="D5" s="64" t="str">
        <f t="shared" ref="D5:D10" si="2">H29</f>
        <v/>
      </c>
      <c r="E5" s="64" t="str">
        <f t="shared" ref="E5:E10" si="3">J29</f>
        <v/>
      </c>
    </row>
    <row r="6" spans="1:5" s="63" customFormat="1" ht="36" customHeight="1" thickBot="1">
      <c r="A6" s="65" t="str">
        <f>IFERROR(A30&amp;VLOOKUP(A30,分區計算參數!B:E,4,FALSE),"")</f>
        <v>B3一般辦公大樓(一般商辦、政府辦公、分租型辦公)</v>
      </c>
      <c r="B6" s="66">
        <f t="shared" si="0"/>
        <v>123</v>
      </c>
      <c r="C6" s="64">
        <f t="shared" si="1"/>
        <v>48.1</v>
      </c>
      <c r="D6" s="64">
        <f t="shared" si="2"/>
        <v>31.61</v>
      </c>
      <c r="E6" s="64">
        <f t="shared" si="3"/>
        <v>16.93</v>
      </c>
    </row>
    <row r="7" spans="1:5" s="63" customFormat="1" ht="36" customHeight="1" thickBot="1">
      <c r="A7" s="65" t="str">
        <f>IFERROR(A31&amp;VLOOKUP(A31,分區計算參數!B:E,4,FALSE),"")</f>
        <v/>
      </c>
      <c r="B7" s="66" t="str">
        <f t="shared" si="0"/>
        <v/>
      </c>
      <c r="C7" s="64" t="str">
        <f t="shared" si="1"/>
        <v/>
      </c>
      <c r="D7" s="64" t="str">
        <f t="shared" si="2"/>
        <v/>
      </c>
      <c r="E7" s="64" t="str">
        <f t="shared" si="3"/>
        <v/>
      </c>
    </row>
    <row r="8" spans="1:5" s="63" customFormat="1" ht="36" customHeight="1" thickBot="1">
      <c r="A8" s="65" t="str">
        <f>IFERROR(A32&amp;VLOOKUP(A32,分區計算參數!B:E,4,FALSE),"")</f>
        <v/>
      </c>
      <c r="B8" s="66" t="str">
        <f t="shared" si="0"/>
        <v/>
      </c>
      <c r="C8" s="64" t="str">
        <f t="shared" si="1"/>
        <v/>
      </c>
      <c r="D8" s="64" t="str">
        <f t="shared" si="2"/>
        <v/>
      </c>
      <c r="E8" s="64" t="str">
        <f t="shared" si="3"/>
        <v/>
      </c>
    </row>
    <row r="9" spans="1:5" s="63" customFormat="1" ht="36" customHeight="1" thickBot="1">
      <c r="A9" s="65" t="str">
        <f>IFERROR(A33&amp;VLOOKUP(A33,分區計算參數!B:E,4,FALSE),"")</f>
        <v/>
      </c>
      <c r="B9" s="66" t="str">
        <f t="shared" si="0"/>
        <v/>
      </c>
      <c r="C9" s="64" t="str">
        <f t="shared" si="1"/>
        <v/>
      </c>
      <c r="D9" s="64" t="str">
        <f t="shared" si="2"/>
        <v/>
      </c>
      <c r="E9" s="64" t="str">
        <f t="shared" si="3"/>
        <v/>
      </c>
    </row>
    <row r="10" spans="1:5" s="63" customFormat="1" ht="36" customHeight="1" thickBot="1">
      <c r="A10" s="65" t="str">
        <f>IFERROR(A34&amp;VLOOKUP(A34,分區計算參數!B:E,4,FALSE),"")</f>
        <v/>
      </c>
      <c r="B10" s="66" t="str">
        <f t="shared" si="0"/>
        <v/>
      </c>
      <c r="C10" s="64" t="str">
        <f t="shared" si="1"/>
        <v/>
      </c>
      <c r="D10" s="64" t="str">
        <f t="shared" si="2"/>
        <v/>
      </c>
      <c r="E10" s="64" t="str">
        <f t="shared" si="3"/>
        <v/>
      </c>
    </row>
    <row r="11" spans="1:5" ht="32" customHeight="1" thickBot="1">
      <c r="A11" s="65" t="str">
        <f>IFERROR(A39&amp;VLOOKUP(A39,分區計算參數!B:E,4,FALSE),"")</f>
        <v/>
      </c>
      <c r="B11" s="66" t="str">
        <f>B39</f>
        <v/>
      </c>
      <c r="C11" s="64" t="str">
        <f t="shared" ref="C11" si="4">E39</f>
        <v/>
      </c>
      <c r="D11" s="64" t="str">
        <f t="shared" ref="D11" si="5">H39</f>
        <v/>
      </c>
      <c r="E11" s="64" t="str">
        <f t="shared" ref="E11" si="6">J39</f>
        <v/>
      </c>
    </row>
    <row r="12" spans="1:5" ht="32" customHeight="1" thickBot="1">
      <c r="A12" s="97"/>
      <c r="B12" s="98"/>
      <c r="C12" s="64"/>
      <c r="D12" s="99"/>
      <c r="E12" s="99"/>
    </row>
    <row r="13" spans="1:5" ht="32" customHeight="1" thickBot="1">
      <c r="A13" s="97"/>
      <c r="B13" s="98"/>
      <c r="C13" s="64"/>
      <c r="D13" s="99"/>
      <c r="E13" s="99"/>
    </row>
    <row r="14" spans="1:5" ht="32" customHeight="1" thickBot="1">
      <c r="A14" s="97"/>
      <c r="B14" s="98"/>
      <c r="C14" s="64"/>
      <c r="D14" s="99"/>
      <c r="E14" s="99"/>
    </row>
    <row r="15" spans="1:5" ht="32" customHeight="1" thickBot="1">
      <c r="A15" s="97"/>
      <c r="B15" s="98"/>
      <c r="C15" s="64"/>
      <c r="D15" s="99"/>
      <c r="E15" s="99"/>
    </row>
    <row r="16" spans="1:5" ht="19" customHeight="1" thickBot="1">
      <c r="A16" s="53" t="s">
        <v>386</v>
      </c>
      <c r="B16" s="215" t="s">
        <v>387</v>
      </c>
      <c r="C16" s="216"/>
      <c r="D16" s="54">
        <f>B40</f>
        <v>123</v>
      </c>
      <c r="E16" s="69" t="s">
        <v>384</v>
      </c>
    </row>
    <row r="17" spans="1:19" ht="17" customHeight="1" thickBot="1">
      <c r="A17" s="53" t="s">
        <v>388</v>
      </c>
      <c r="B17" s="215" t="s">
        <v>389</v>
      </c>
      <c r="C17" s="216"/>
      <c r="D17" s="55">
        <f>SUMPRODUCT(B4:B15,C4:C15)</f>
        <v>5916.3</v>
      </c>
      <c r="E17" s="69" t="s">
        <v>23</v>
      </c>
    </row>
    <row r="18" spans="1:19" ht="17" customHeight="1" thickBot="1">
      <c r="A18" s="53" t="s">
        <v>390</v>
      </c>
      <c r="B18" s="215" t="s">
        <v>391</v>
      </c>
      <c r="C18" s="216"/>
      <c r="D18" s="55">
        <f>SUMPRODUCT(B4:B15,D4:D15)</f>
        <v>3888.0299999999997</v>
      </c>
      <c r="E18" s="69" t="s">
        <v>23</v>
      </c>
    </row>
    <row r="19" spans="1:19" ht="17" customHeight="1" thickBot="1">
      <c r="A19" s="53" t="s">
        <v>392</v>
      </c>
      <c r="B19" s="215" t="s">
        <v>393</v>
      </c>
      <c r="C19" s="216"/>
      <c r="D19" s="55">
        <f>SUMPRODUCT(B4:B15,E4:E15)</f>
        <v>2082.39</v>
      </c>
      <c r="E19" s="69" t="s">
        <v>23</v>
      </c>
    </row>
    <row r="20" spans="1:19" ht="19" customHeight="1" thickBot="1">
      <c r="A20" s="53" t="s">
        <v>394</v>
      </c>
      <c r="B20" s="215" t="s">
        <v>395</v>
      </c>
      <c r="C20" s="216"/>
      <c r="D20" s="54">
        <f>D17/D16</f>
        <v>48.1</v>
      </c>
      <c r="E20" s="69" t="s">
        <v>385</v>
      </c>
    </row>
    <row r="21" spans="1:19" ht="19" customHeight="1" thickBot="1">
      <c r="A21" s="53" t="s">
        <v>396</v>
      </c>
      <c r="B21" s="215" t="s">
        <v>397</v>
      </c>
      <c r="C21" s="216"/>
      <c r="D21" s="54">
        <f>D18/D16</f>
        <v>31.61</v>
      </c>
      <c r="E21" s="69" t="s">
        <v>385</v>
      </c>
    </row>
    <row r="22" spans="1:19" ht="19" customHeight="1" thickBot="1">
      <c r="A22" s="53" t="s">
        <v>398</v>
      </c>
      <c r="B22" s="215" t="s">
        <v>399</v>
      </c>
      <c r="C22" s="216"/>
      <c r="D22" s="54">
        <f>D19/D16</f>
        <v>16.93</v>
      </c>
      <c r="E22" s="69" t="s">
        <v>385</v>
      </c>
    </row>
    <row r="24" spans="1:19" ht="17" thickBot="1"/>
    <row r="25" spans="1:19" ht="19">
      <c r="A25" s="207" t="s">
        <v>400</v>
      </c>
      <c r="B25" s="57" t="s">
        <v>401</v>
      </c>
      <c r="C25" s="211" t="s">
        <v>402</v>
      </c>
      <c r="D25" s="214" t="s">
        <v>403</v>
      </c>
      <c r="E25" s="191"/>
      <c r="F25" s="192"/>
      <c r="G25" s="190" t="s">
        <v>404</v>
      </c>
      <c r="H25" s="191"/>
      <c r="I25" s="192"/>
      <c r="J25" s="58" t="s">
        <v>405</v>
      </c>
      <c r="K25" s="58" t="s">
        <v>406</v>
      </c>
      <c r="L25" s="58" t="s">
        <v>406</v>
      </c>
      <c r="M25" s="58" t="s">
        <v>406</v>
      </c>
      <c r="N25" s="58" t="s">
        <v>407</v>
      </c>
      <c r="O25" s="56" t="s">
        <v>408</v>
      </c>
      <c r="P25" s="185" t="s">
        <v>1119</v>
      </c>
      <c r="S25" s="184"/>
    </row>
    <row r="26" spans="1:19" ht="37" customHeight="1" thickBot="1">
      <c r="A26" s="203"/>
      <c r="B26" s="205" t="s">
        <v>409</v>
      </c>
      <c r="C26" s="212"/>
      <c r="D26" s="193" t="s">
        <v>27</v>
      </c>
      <c r="E26" s="194"/>
      <c r="F26" s="195"/>
      <c r="G26" s="196" t="s">
        <v>28</v>
      </c>
      <c r="H26" s="194"/>
      <c r="I26" s="195"/>
      <c r="J26" s="203" t="s">
        <v>29</v>
      </c>
      <c r="K26" s="95" t="s">
        <v>1008</v>
      </c>
      <c r="L26" s="49" t="s">
        <v>410</v>
      </c>
      <c r="M26" s="49" t="s">
        <v>411</v>
      </c>
      <c r="N26" s="49" t="s">
        <v>412</v>
      </c>
      <c r="O26" s="59" t="s">
        <v>413</v>
      </c>
      <c r="P26" s="186"/>
      <c r="S26" s="184"/>
    </row>
    <row r="27" spans="1:19" ht="20" thickBot="1">
      <c r="A27" s="210"/>
      <c r="B27" s="206"/>
      <c r="C27" s="213"/>
      <c r="D27" s="49" t="s">
        <v>34</v>
      </c>
      <c r="E27" s="49" t="s">
        <v>35</v>
      </c>
      <c r="F27" s="49" t="s">
        <v>36</v>
      </c>
      <c r="G27" s="49" t="s">
        <v>37</v>
      </c>
      <c r="H27" s="49" t="s">
        <v>38</v>
      </c>
      <c r="I27" s="49" t="s">
        <v>39</v>
      </c>
      <c r="J27" s="204"/>
      <c r="K27" s="50" t="s">
        <v>1009</v>
      </c>
      <c r="L27" s="50" t="s">
        <v>30</v>
      </c>
      <c r="M27" s="50" t="s">
        <v>31</v>
      </c>
      <c r="N27" s="50" t="s">
        <v>32</v>
      </c>
      <c r="O27" s="51" t="s">
        <v>33</v>
      </c>
      <c r="P27" s="186"/>
      <c r="S27" s="184"/>
    </row>
    <row r="28" spans="1:19" ht="18" thickBot="1">
      <c r="A28" s="62" t="str">
        <f>IFERROR(IF(LEFT(MID(填表!K3,1,FIND(" ",填表!K3)-1),1)="N","",MID(填表!K3,1,FIND(" ",填表!K3)-1)),"")</f>
        <v/>
      </c>
      <c r="B28" s="54" t="str">
        <f>IF(A28="","",填表!L3)</f>
        <v/>
      </c>
      <c r="C28" s="67" t="str">
        <f>IF(A28="","",填表!M3)</f>
        <v/>
      </c>
      <c r="D28" s="68" t="str">
        <f>IFERROR(IF(C28="全年",VLOOKUP(A28&amp;"min",分區計算參數!D:M,7,FALSE),VLOOKUP(A28&amp;"min",分區計算參數!D:M,10,FALSE)),"")</f>
        <v/>
      </c>
      <c r="E28" s="68" t="str">
        <f>IFERROR(IF(C28="全年",VLOOKUP(A28&amp;"m",分區計算參數!D:M,7,FALSE),VLOOKUP(A28&amp;"m",分區計算參數!D:M,10,FALSE)),"")</f>
        <v/>
      </c>
      <c r="F28" s="68" t="str">
        <f>IFERROR(IF(C28="全年",VLOOKUP(A28&amp;"max",分區計算參數!D:M,7,FALSE),VLOOKUP(A28&amp;"max",分區計算參數!D:M,10,FALSE)),"")</f>
        <v/>
      </c>
      <c r="G28" s="68" t="str">
        <f>IFERROR(VLOOKUP(A28&amp;"min",分區計算參數!D:G,4,FALSE),"")</f>
        <v/>
      </c>
      <c r="H28" s="68" t="str">
        <f>IFERROR(VLOOKUP(A28&amp;"m",分區計算參數!D:G,4,FALSE),"")</f>
        <v/>
      </c>
      <c r="I28" s="68" t="str">
        <f>IFERROR(VLOOKUP(A28&amp;"max",分區計算參數!D:G,4,FALSE),"")</f>
        <v/>
      </c>
      <c r="J28" s="68" t="str">
        <f>IFERROR(VLOOKUP(A28&amp;"max",分區計算參數!D:G,3,FALSE),"")</f>
        <v/>
      </c>
      <c r="K28" s="52" t="str">
        <f>IFERROR(VLOOKUP(A28&amp;"max",分區計算參數!D:T,17,FALSE),"")</f>
        <v/>
      </c>
      <c r="L28" s="52" t="str">
        <f>IFERROR(IF(C28="全年",VLOOKUP(A28&amp;"max",分區計算參數!D:Z,20,FALSE),VLOOKUP(A28&amp;"max",分區計算參數!D:Z,23,FALSE)),"")</f>
        <v/>
      </c>
      <c r="M28" s="52" t="str">
        <f>IFERROR(VLOOKUP(A28&amp;"max",分區計算參數!D:AA,24,FALSE),"")</f>
        <v/>
      </c>
      <c r="N28" s="84" t="str">
        <f>IFERROR(VLOOKUP(A28&amp;"max",分區計算參數!D:Q,14,FALSE)*B28,"")</f>
        <v/>
      </c>
      <c r="O28" s="271" t="str">
        <f>IFERROR(VLOOKUP(A28,SORi!B:C,2,FALSE),IF(A28&lt;&gt;"",1,""))</f>
        <v/>
      </c>
      <c r="P28" s="61" t="str">
        <f>IF(IF(A28="","",填表!N3)="是",1,"")</f>
        <v/>
      </c>
      <c r="Q28" s="60">
        <f>IF(A28&lt;&gt;"",0,1)</f>
        <v>1</v>
      </c>
    </row>
    <row r="29" spans="1:19" ht="18" thickBot="1">
      <c r="A29" s="62" t="str">
        <f>IFERROR(IF(LEFT(MID(填表!K4,1,FIND(" ",填表!K4)-1),1)="N","",MID(填表!K4,1,FIND(" ",填表!K4)-1)),"")</f>
        <v/>
      </c>
      <c r="B29" s="54" t="str">
        <f>IF(A29="","",填表!L4)</f>
        <v/>
      </c>
      <c r="C29" s="54" t="str">
        <f>IF(A29="","",填表!M4)</f>
        <v/>
      </c>
      <c r="D29" s="68" t="str">
        <f>IFERROR(IF(C29="全年",VLOOKUP(A29&amp;"min",分區計算參數!D:M,7,FALSE),VLOOKUP(A29&amp;"min",分區計算參數!D:M,10,FALSE)),"")</f>
        <v/>
      </c>
      <c r="E29" s="68" t="str">
        <f>IFERROR(IF(C29="全年",VLOOKUP(A29&amp;"m",分區計算參數!D:M,7,FALSE),VLOOKUP(A29&amp;"m",分區計算參數!D:M,10,FALSE)),"")</f>
        <v/>
      </c>
      <c r="F29" s="68" t="str">
        <f>IFERROR(IF(C29="全年",VLOOKUP(A29&amp;"max",分區計算參數!D:M,7,FALSE),VLOOKUP(A29&amp;"max",分區計算參數!D:M,10,FALSE)),"")</f>
        <v/>
      </c>
      <c r="G29" s="68" t="str">
        <f>IFERROR(VLOOKUP(A29&amp;"min",分區計算參數!D:G,4,FALSE),"")</f>
        <v/>
      </c>
      <c r="H29" s="68" t="str">
        <f>IFERROR(VLOOKUP(A29&amp;"m",分區計算參數!D:G,4,FALSE),"")</f>
        <v/>
      </c>
      <c r="I29" s="68" t="str">
        <f>IFERROR(VLOOKUP(A29&amp;"max",分區計算參數!D:G,4,FALSE),"")</f>
        <v/>
      </c>
      <c r="J29" s="68" t="str">
        <f>IFERROR(VLOOKUP(A29&amp;"max",分區計算參數!D:G,3,FALSE),"")</f>
        <v/>
      </c>
      <c r="K29" s="52" t="str">
        <f>IFERROR(VLOOKUP(A29&amp;"max",分區計算參數!D:T,17,FALSE),"")</f>
        <v/>
      </c>
      <c r="L29" s="52" t="str">
        <f>IFERROR(IF(C29="全年",VLOOKUP(A29&amp;"max",分區計算參數!D:Z,20,FALSE),VLOOKUP(A29&amp;"max",分區計算參數!D:Z,23,FALSE)),"")</f>
        <v/>
      </c>
      <c r="M29" s="52" t="str">
        <f>IFERROR(VLOOKUP(A29&amp;"max",分區計算參數!D:AA,24,FALSE),"")</f>
        <v/>
      </c>
      <c r="N29" s="84" t="str">
        <f>IFERROR(VLOOKUP(A29&amp;"max",分區計算參數!D:Q,14,FALSE)*B29,"")</f>
        <v/>
      </c>
      <c r="O29" s="271" t="str">
        <f>IFERROR(VLOOKUP(A29,SORi!B:C,2,FALSE),IF(A29&lt;&gt;"",1,""))</f>
        <v/>
      </c>
      <c r="P29" s="61" t="str">
        <f>IF(IF(A29="","",填表!N4)="是",1,"")</f>
        <v/>
      </c>
      <c r="Q29" s="60">
        <f t="shared" ref="Q29:Q39" si="7">IF(A29&lt;&gt;"",0,1)</f>
        <v>1</v>
      </c>
    </row>
    <row r="30" spans="1:19" ht="18" thickBot="1">
      <c r="A30" s="62" t="str">
        <f>IFERROR(IF(LEFT(MID(填表!K5,1,FIND(" ",填表!K5)-1),1)="N","",MID(填表!K5,1,FIND(" ",填表!K5)-1)),"")</f>
        <v>B3</v>
      </c>
      <c r="B30" s="54">
        <f>IF(A30="","",填表!L5)</f>
        <v>123</v>
      </c>
      <c r="C30" s="54">
        <f>IF(A30="","",填表!M5)</f>
        <v>0</v>
      </c>
      <c r="D30" s="68">
        <f>IFERROR(IF(C30="全年",VLOOKUP(A30&amp;"min",分區計算參數!D:M,7,FALSE),VLOOKUP(A30&amp;"min",分區計算參數!D:M,10,FALSE)),"")</f>
        <v>31.19</v>
      </c>
      <c r="E30" s="68">
        <f>IFERROR(IF(C30="全年",VLOOKUP(A30&amp;"m",分區計算參數!D:M,7,FALSE),VLOOKUP(A30&amp;"m",分區計算參數!D:M,10,FALSE)),"")</f>
        <v>48.1</v>
      </c>
      <c r="F30" s="68">
        <f>IFERROR(IF(C30="全年",VLOOKUP(A30&amp;"max",分區計算參數!D:M,7,FALSE),VLOOKUP(A30&amp;"max",分區計算參數!D:M,10,FALSE)),"")</f>
        <v>71.290000000000006</v>
      </c>
      <c r="G30" s="68">
        <f>IFERROR(VLOOKUP(A30&amp;"min",分區計算參數!D:G,4,FALSE),"")</f>
        <v>15.86</v>
      </c>
      <c r="H30" s="68">
        <f>IFERROR(VLOOKUP(A30&amp;"m",分區計算參數!D:G,4,FALSE),"")</f>
        <v>31.61</v>
      </c>
      <c r="I30" s="68">
        <f>IFERROR(VLOOKUP(A30&amp;"max",分區計算參數!D:G,4,FALSE),"")</f>
        <v>52.77</v>
      </c>
      <c r="J30" s="68">
        <f>IFERROR(VLOOKUP(A30&amp;"max",分區計算參數!D:G,3,FALSE),"")</f>
        <v>16.93</v>
      </c>
      <c r="K30" s="52">
        <f>IFERROR(VLOOKUP(A30&amp;"max",分區計算參數!D:T,17,FALSE),"")</f>
        <v>2500</v>
      </c>
      <c r="L30" s="52">
        <f>IFERROR(IF(C30="全年",VLOOKUP(A30&amp;"max",分區計算參數!D:Z,20,FALSE),VLOOKUP(A30&amp;"max",分區計算參數!D:Z,23,FALSE)),"")</f>
        <v>2010</v>
      </c>
      <c r="M30" s="52">
        <f>IFERROR(VLOOKUP(A30&amp;"max",分區計算參數!D:AA,24,FALSE),"")</f>
        <v>250</v>
      </c>
      <c r="N30" s="84">
        <f>IFERROR(VLOOKUP(A30&amp;"max",分區計算參數!D:Q,14,FALSE)*B30,"")</f>
        <v>221.4</v>
      </c>
      <c r="O30" s="271">
        <f>IFERROR(VLOOKUP(A30,SORi!B:C,2,FALSE),IF(A30&lt;&gt;"",1,""))</f>
        <v>1</v>
      </c>
      <c r="P30" s="61">
        <f>IF(IF(A30="","",填表!N5)="是",1,"")</f>
        <v>1</v>
      </c>
      <c r="Q30" s="60">
        <f t="shared" si="7"/>
        <v>0</v>
      </c>
    </row>
    <row r="31" spans="1:19" ht="18" thickBot="1">
      <c r="A31" s="62" t="str">
        <f>IFERROR(IF(LEFT(MID(填表!K6,1,FIND(" ",填表!K6)-1),1)="N","",MID(填表!K6,1,FIND(" ",填表!K6)-1)),"")</f>
        <v/>
      </c>
      <c r="B31" s="54" t="str">
        <f>IF(A31="","",填表!L6)</f>
        <v/>
      </c>
      <c r="C31" s="54" t="str">
        <f>IF(A31="","",填表!M6)</f>
        <v/>
      </c>
      <c r="D31" s="68" t="str">
        <f>IFERROR(IF(C31="全年",VLOOKUP(A31&amp;"min",分區計算參數!D:M,7,FALSE),VLOOKUP(A31&amp;"min",分區計算參數!D:M,10,FALSE)),"")</f>
        <v/>
      </c>
      <c r="E31" s="68" t="str">
        <f>IFERROR(IF(C31="全年",VLOOKUP(A31&amp;"m",分區計算參數!D:M,7,FALSE),VLOOKUP(A31&amp;"m",分區計算參數!D:M,10,FALSE)),"")</f>
        <v/>
      </c>
      <c r="F31" s="68" t="str">
        <f>IFERROR(IF(C31="全年",VLOOKUP(A31&amp;"max",分區計算參數!D:M,7,FALSE),VLOOKUP(A31&amp;"max",分區計算參數!D:M,10,FALSE)),"")</f>
        <v/>
      </c>
      <c r="G31" s="68" t="str">
        <f>IFERROR(VLOOKUP(A31&amp;"min",分區計算參數!D:G,4,FALSE),"")</f>
        <v/>
      </c>
      <c r="H31" s="68" t="str">
        <f>IFERROR(VLOOKUP(A31&amp;"m",分區計算參數!D:G,4,FALSE),"")</f>
        <v/>
      </c>
      <c r="I31" s="68" t="str">
        <f>IFERROR(VLOOKUP(A31&amp;"max",分區計算參數!D:G,4,FALSE),"")</f>
        <v/>
      </c>
      <c r="J31" s="68" t="str">
        <f>IFERROR(VLOOKUP(A31&amp;"max",分區計算參數!D:G,3,FALSE),"")</f>
        <v/>
      </c>
      <c r="K31" s="52" t="str">
        <f>IFERROR(VLOOKUP(A31&amp;"max",分區計算參數!D:T,17,FALSE),"")</f>
        <v/>
      </c>
      <c r="L31" s="52" t="str">
        <f>IFERROR(IF(C31="全年",VLOOKUP(A31&amp;"max",分區計算參數!D:Z,20,FALSE),VLOOKUP(A31&amp;"max",分區計算參數!D:Z,23,FALSE)),"")</f>
        <v/>
      </c>
      <c r="M31" s="52" t="str">
        <f>IFERROR(VLOOKUP(A31&amp;"max",分區計算參數!D:AA,24,FALSE),"")</f>
        <v/>
      </c>
      <c r="N31" s="84" t="str">
        <f>IFERROR(VLOOKUP(A31&amp;"max",分區計算參數!D:Q,14,FALSE)*B31,"")</f>
        <v/>
      </c>
      <c r="O31" s="271" t="str">
        <f>IFERROR(VLOOKUP(A31,SORi!B:C,2,FALSE),IF(A31&lt;&gt;"",1,""))</f>
        <v/>
      </c>
      <c r="P31" s="61" t="str">
        <f>IF(IF(A31="","",填表!N6)="是",1,"")</f>
        <v/>
      </c>
      <c r="Q31" s="60">
        <f t="shared" si="7"/>
        <v>1</v>
      </c>
    </row>
    <row r="32" spans="1:19" ht="18" thickBot="1">
      <c r="A32" s="62" t="str">
        <f>IFERROR(IF(LEFT(MID(填表!K7,1,FIND(" ",填表!K7)-1),1)="N","",MID(填表!K7,1,FIND(" ",填表!K7)-1)),"")</f>
        <v/>
      </c>
      <c r="B32" s="54" t="str">
        <f>IF(A32="","",填表!L7)</f>
        <v/>
      </c>
      <c r="C32" s="54" t="str">
        <f>IF(A32="","",填表!M7)</f>
        <v/>
      </c>
      <c r="D32" s="68" t="str">
        <f>IFERROR(IF(C32="全年",VLOOKUP(A32&amp;"min",分區計算參數!D:M,7,FALSE),VLOOKUP(A32&amp;"min",分區計算參數!D:M,10,FALSE)),"")</f>
        <v/>
      </c>
      <c r="E32" s="68" t="str">
        <f>IFERROR(IF(C32="全年",VLOOKUP(A32&amp;"m",分區計算參數!D:M,7,FALSE),VLOOKUP(A32&amp;"m",分區計算參數!D:M,10,FALSE)),"")</f>
        <v/>
      </c>
      <c r="F32" s="68" t="str">
        <f>IFERROR(IF(C32="全年",VLOOKUP(A32&amp;"max",分區計算參數!D:M,7,FALSE),VLOOKUP(A32&amp;"max",分區計算參數!D:M,10,FALSE)),"")</f>
        <v/>
      </c>
      <c r="G32" s="68" t="str">
        <f>IFERROR(VLOOKUP(A32&amp;"min",分區計算參數!D:G,4,FALSE),"")</f>
        <v/>
      </c>
      <c r="H32" s="68" t="str">
        <f>IFERROR(VLOOKUP(A32&amp;"m",分區計算參數!D:G,4,FALSE),"")</f>
        <v/>
      </c>
      <c r="I32" s="68" t="str">
        <f>IFERROR(VLOOKUP(A32&amp;"max",分區計算參數!D:G,4,FALSE),"")</f>
        <v/>
      </c>
      <c r="J32" s="68" t="str">
        <f>IFERROR(VLOOKUP(A32&amp;"max",分區計算參數!D:G,3,FALSE),"")</f>
        <v/>
      </c>
      <c r="K32" s="52" t="str">
        <f>IFERROR(VLOOKUP(A32&amp;"max",分區計算參數!D:T,17,FALSE),"")</f>
        <v/>
      </c>
      <c r="L32" s="52" t="str">
        <f>IFERROR(IF(C32="全年",VLOOKUP(A32&amp;"max",分區計算參數!D:Z,20,FALSE),VLOOKUP(A32&amp;"max",分區計算參數!D:Z,23,FALSE)),"")</f>
        <v/>
      </c>
      <c r="M32" s="52" t="str">
        <f>IFERROR(VLOOKUP(A32&amp;"max",分區計算參數!D:AA,24,FALSE),"")</f>
        <v/>
      </c>
      <c r="N32" s="84" t="str">
        <f>IFERROR(VLOOKUP(A32&amp;"max",分區計算參數!D:Q,14,FALSE)*B32,"")</f>
        <v/>
      </c>
      <c r="O32" s="271" t="str">
        <f>IFERROR(VLOOKUP(A32,SORi!B:C,2,FALSE),IF(A32&lt;&gt;"",1,""))</f>
        <v/>
      </c>
      <c r="P32" s="61" t="str">
        <f>IF(IF(A32="","",填表!N7)="是",1,"")</f>
        <v/>
      </c>
      <c r="Q32" s="60">
        <f t="shared" si="7"/>
        <v>1</v>
      </c>
    </row>
    <row r="33" spans="1:17" ht="18" thickBot="1">
      <c r="A33" s="62" t="str">
        <f>IFERROR(IF(LEFT(MID(填表!K8,1,FIND(" ",填表!K8)-1),1)="N","",MID(填表!K8,1,FIND(" ",填表!K8)-1)),"")</f>
        <v/>
      </c>
      <c r="B33" s="54" t="str">
        <f>IF(A33="","",填表!L8)</f>
        <v/>
      </c>
      <c r="C33" s="54" t="str">
        <f>IF(A33="","",填表!M8)</f>
        <v/>
      </c>
      <c r="D33" s="68" t="str">
        <f>IFERROR(IF(C33="全年",VLOOKUP(A33&amp;"min",分區計算參數!D:M,7,FALSE),VLOOKUP(A33&amp;"min",分區計算參數!D:M,10,FALSE)),"")</f>
        <v/>
      </c>
      <c r="E33" s="68" t="str">
        <f>IFERROR(IF(C33="全年",VLOOKUP(A33&amp;"m",分區計算參數!D:M,7,FALSE),VLOOKUP(A33&amp;"m",分區計算參數!D:M,10,FALSE)),"")</f>
        <v/>
      </c>
      <c r="F33" s="68" t="str">
        <f>IFERROR(IF(C33="全年",VLOOKUP(A33&amp;"max",分區計算參數!D:M,7,FALSE),VLOOKUP(A33&amp;"max",分區計算參數!D:M,10,FALSE)),"")</f>
        <v/>
      </c>
      <c r="G33" s="68" t="str">
        <f>IFERROR(VLOOKUP(A33&amp;"min",分區計算參數!D:G,4,FALSE),"")</f>
        <v/>
      </c>
      <c r="H33" s="68" t="str">
        <f>IFERROR(VLOOKUP(A33&amp;"m",分區計算參數!D:G,4,FALSE),"")</f>
        <v/>
      </c>
      <c r="I33" s="68" t="str">
        <f>IFERROR(VLOOKUP(A33&amp;"max",分區計算參數!D:G,4,FALSE),"")</f>
        <v/>
      </c>
      <c r="J33" s="68" t="str">
        <f>IFERROR(VLOOKUP(A33&amp;"max",分區計算參數!D:G,3,FALSE),"")</f>
        <v/>
      </c>
      <c r="K33" s="52" t="str">
        <f>IFERROR(VLOOKUP(A33&amp;"max",分區計算參數!D:T,17,FALSE),"")</f>
        <v/>
      </c>
      <c r="L33" s="52" t="str">
        <f>IFERROR(IF(C33="全年",VLOOKUP(A33&amp;"max",分區計算參數!D:Z,20,FALSE),VLOOKUP(A33&amp;"max",分區計算參數!D:Z,23,FALSE)),"")</f>
        <v/>
      </c>
      <c r="M33" s="52" t="str">
        <f>IFERROR(VLOOKUP(A33&amp;"max",分區計算參數!D:AA,24,FALSE),"")</f>
        <v/>
      </c>
      <c r="N33" s="84" t="str">
        <f>IFERROR(VLOOKUP(A33&amp;"max",分區計算參數!D:Q,14,FALSE)*B33,"")</f>
        <v/>
      </c>
      <c r="O33" s="271" t="str">
        <f>IFERROR(VLOOKUP(A33,SORi!B:C,2,FALSE),IF(A33&lt;&gt;"",1,""))</f>
        <v/>
      </c>
      <c r="P33" s="61" t="str">
        <f>IF(IF(A33="","",填表!N8)="是",1,"")</f>
        <v/>
      </c>
      <c r="Q33" s="60">
        <f t="shared" si="7"/>
        <v>1</v>
      </c>
    </row>
    <row r="34" spans="1:17" ht="18" thickBot="1">
      <c r="A34" s="62" t="str">
        <f>IFERROR(IF(LEFT(MID(填表!K9,1,FIND(" ",填表!K9)-1),1)="N","",MID(填表!K9,1,FIND(" ",填表!K9)-1)),"")</f>
        <v/>
      </c>
      <c r="B34" s="54" t="str">
        <f>IF(A34="","",填表!L9)</f>
        <v/>
      </c>
      <c r="C34" s="54" t="str">
        <f>IF(A34="","",填表!M9)</f>
        <v/>
      </c>
      <c r="D34" s="68" t="str">
        <f>IFERROR(IF(C34="全年",VLOOKUP(A34&amp;"min",分區計算參數!D:M,7,FALSE),VLOOKUP(A34&amp;"min",分區計算參數!D:M,10,FALSE)),"")</f>
        <v/>
      </c>
      <c r="E34" s="68" t="str">
        <f>IFERROR(IF(C34="全年",VLOOKUP(A34&amp;"m",分區計算參數!D:M,7,FALSE),VLOOKUP(A34&amp;"m",分區計算參數!D:M,10,FALSE)),"")</f>
        <v/>
      </c>
      <c r="F34" s="68" t="str">
        <f>IFERROR(IF(C34="全年",VLOOKUP(A34&amp;"max",分區計算參數!D:M,7,FALSE),VLOOKUP(A34&amp;"max",分區計算參數!D:M,10,FALSE)),"")</f>
        <v/>
      </c>
      <c r="G34" s="68" t="str">
        <f>IFERROR(VLOOKUP(A34&amp;"min",分區計算參數!D:G,4,FALSE),"")</f>
        <v/>
      </c>
      <c r="H34" s="68" t="str">
        <f>IFERROR(VLOOKUP(A34&amp;"m",分區計算參數!D:G,4,FALSE),"")</f>
        <v/>
      </c>
      <c r="I34" s="68" t="str">
        <f>IFERROR(VLOOKUP(A34&amp;"max",分區計算參數!D:G,4,FALSE),"")</f>
        <v/>
      </c>
      <c r="J34" s="68" t="str">
        <f>IFERROR(VLOOKUP(A34&amp;"max",分區計算參數!D:G,3,FALSE),"")</f>
        <v/>
      </c>
      <c r="K34" s="52" t="str">
        <f>IFERROR(VLOOKUP(A34&amp;"max",分區計算參數!D:T,17,FALSE),"")</f>
        <v/>
      </c>
      <c r="L34" s="52" t="str">
        <f>IFERROR(IF(C34="全年",VLOOKUP(A34&amp;"max",分區計算參數!D:Z,20,FALSE),VLOOKUP(A34&amp;"max",分區計算參數!D:Z,23,FALSE)),"")</f>
        <v/>
      </c>
      <c r="M34" s="52" t="str">
        <f>IFERROR(VLOOKUP(A34&amp;"max",分區計算參數!D:AA,24,FALSE),"")</f>
        <v/>
      </c>
      <c r="N34" s="84" t="str">
        <f>IFERROR(VLOOKUP(A34&amp;"max",分區計算參數!D:Q,14,FALSE)*B34,"")</f>
        <v/>
      </c>
      <c r="O34" s="271" t="str">
        <f>IFERROR(VLOOKUP(A34,SORi!B:C,2,FALSE),IF(A34&lt;&gt;"",1,""))</f>
        <v/>
      </c>
      <c r="P34" s="61" t="str">
        <f>IF(IF(A34="","",填表!N9)="是",1,"")</f>
        <v/>
      </c>
      <c r="Q34" s="60">
        <f t="shared" si="7"/>
        <v>1</v>
      </c>
    </row>
    <row r="35" spans="1:17" ht="18" thickBot="1">
      <c r="A35" s="62" t="str">
        <f>IFERROR(IF(LEFT(MID(填表!K10,1,FIND(" ",填表!K10)-1),1)="N","",MID(填表!K10,1,FIND(" ",填表!K10)-1)),"")</f>
        <v/>
      </c>
      <c r="B35" s="54" t="str">
        <f>IF(A35="","",填表!L10)</f>
        <v/>
      </c>
      <c r="C35" s="54" t="str">
        <f>IF(A35="","",填表!M10)</f>
        <v/>
      </c>
      <c r="D35" s="68" t="str">
        <f>IFERROR(IF(C35="全年",VLOOKUP(A35&amp;"min",分區計算參數!D:M,7,FALSE),VLOOKUP(A35&amp;"min",分區計算參數!D:M,10,FALSE)),"")</f>
        <v/>
      </c>
      <c r="E35" s="68" t="str">
        <f>IFERROR(IF(C35="全年",VLOOKUP(A35&amp;"m",分區計算參數!D:M,7,FALSE),VLOOKUP(A35&amp;"m",分區計算參數!D:M,10,FALSE)),"")</f>
        <v/>
      </c>
      <c r="F35" s="68" t="str">
        <f>IFERROR(IF(C35="全年",VLOOKUP(A35&amp;"max",分區計算參數!D:M,7,FALSE),VLOOKUP(A35&amp;"max",分區計算參數!D:M,10,FALSE)),"")</f>
        <v/>
      </c>
      <c r="G35" s="68" t="str">
        <f>IFERROR(VLOOKUP(A35&amp;"min",分區計算參數!D:G,4,FALSE),"")</f>
        <v/>
      </c>
      <c r="H35" s="68" t="str">
        <f>IFERROR(VLOOKUP(A35&amp;"m",分區計算參數!D:G,4,FALSE),"")</f>
        <v/>
      </c>
      <c r="I35" s="68" t="str">
        <f>IFERROR(VLOOKUP(A35&amp;"max",分區計算參數!D:G,4,FALSE),"")</f>
        <v/>
      </c>
      <c r="J35" s="68" t="str">
        <f>IFERROR(VLOOKUP(A35&amp;"max",分區計算參數!D:G,3,FALSE),"")</f>
        <v/>
      </c>
      <c r="K35" s="52" t="str">
        <f>IFERROR(VLOOKUP(A35&amp;"max",分區計算參數!D:T,17,FALSE),"")</f>
        <v/>
      </c>
      <c r="L35" s="52" t="str">
        <f>IFERROR(IF(C35="全年",VLOOKUP(A35&amp;"max",分區計算參數!D:Z,20,FALSE),VLOOKUP(A35&amp;"max",分區計算參數!D:Z,23,FALSE)),"")</f>
        <v/>
      </c>
      <c r="M35" s="52" t="str">
        <f>IFERROR(VLOOKUP(A35&amp;"max",分區計算參數!D:AA,24,FALSE),"")</f>
        <v/>
      </c>
      <c r="N35" s="84" t="str">
        <f>IFERROR(VLOOKUP(A35&amp;"max",分區計算參數!D:Q,14,FALSE)*B35,"")</f>
        <v/>
      </c>
      <c r="O35" s="271" t="str">
        <f>IFERROR(VLOOKUP(A35,SORi!B:C,2,FALSE),IF(A35&lt;&gt;"",1,""))</f>
        <v/>
      </c>
      <c r="P35" s="61" t="str">
        <f>IF(IF(A35="","",填表!N10)="是",1,"")</f>
        <v/>
      </c>
      <c r="Q35" s="60">
        <f t="shared" si="7"/>
        <v>1</v>
      </c>
    </row>
    <row r="36" spans="1:17" ht="18" thickBot="1">
      <c r="A36" s="62" t="str">
        <f>IFERROR(IF(LEFT(MID(填表!K11,1,FIND(" ",填表!K11)-1),1)="N","",MID(填表!K11,1,FIND(" ",填表!K11)-1)),"")</f>
        <v/>
      </c>
      <c r="B36" s="54" t="str">
        <f>IF(A36="","",填表!L11)</f>
        <v/>
      </c>
      <c r="C36" s="54" t="str">
        <f>IF(A36="","",填表!M11)</f>
        <v/>
      </c>
      <c r="D36" s="68" t="str">
        <f>IFERROR(IF(C36="全年",VLOOKUP(A36&amp;"min",分區計算參數!D:M,7,FALSE),VLOOKUP(A36&amp;"min",分區計算參數!D:M,10,FALSE)),"")</f>
        <v/>
      </c>
      <c r="E36" s="68" t="str">
        <f>IFERROR(IF(C36="全年",VLOOKUP(A36&amp;"m",分區計算參數!D:M,7,FALSE),VLOOKUP(A36&amp;"m",分區計算參數!D:M,10,FALSE)),"")</f>
        <v/>
      </c>
      <c r="F36" s="68" t="str">
        <f>IFERROR(IF(C36="全年",VLOOKUP(A36&amp;"max",分區計算參數!D:M,7,FALSE),VLOOKUP(A36&amp;"max",分區計算參數!D:M,10,FALSE)),"")</f>
        <v/>
      </c>
      <c r="G36" s="68" t="str">
        <f>IFERROR(VLOOKUP(A36&amp;"min",分區計算參數!D:G,4,FALSE),"")</f>
        <v/>
      </c>
      <c r="H36" s="68" t="str">
        <f>IFERROR(VLOOKUP(A36&amp;"m",分區計算參數!D:G,4,FALSE),"")</f>
        <v/>
      </c>
      <c r="I36" s="68" t="str">
        <f>IFERROR(VLOOKUP(A36&amp;"max",分區計算參數!D:G,4,FALSE),"")</f>
        <v/>
      </c>
      <c r="J36" s="68" t="str">
        <f>IFERROR(VLOOKUP(A36&amp;"max",分區計算參數!D:G,3,FALSE),"")</f>
        <v/>
      </c>
      <c r="K36" s="52" t="str">
        <f>IFERROR(VLOOKUP(A36&amp;"max",分區計算參數!D:T,17,FALSE),"")</f>
        <v/>
      </c>
      <c r="L36" s="52" t="str">
        <f>IFERROR(IF(C36="全年",VLOOKUP(A36&amp;"max",分區計算參數!D:Z,20,FALSE),VLOOKUP(A36&amp;"max",分區計算參數!D:Z,23,FALSE)),"")</f>
        <v/>
      </c>
      <c r="M36" s="52" t="str">
        <f>IFERROR(VLOOKUP(A36&amp;"max",分區計算參數!D:AA,24,FALSE),"")</f>
        <v/>
      </c>
      <c r="N36" s="84" t="str">
        <f>IFERROR(VLOOKUP(A36&amp;"max",分區計算參數!D:Q,14,FALSE)*B36,"")</f>
        <v/>
      </c>
      <c r="O36" s="271" t="str">
        <f>IFERROR(VLOOKUP(A36,SORi!B:C,2,FALSE),IF(A36&lt;&gt;"",1,""))</f>
        <v/>
      </c>
      <c r="P36" s="61" t="str">
        <f>IF(IF(A36="","",填表!N11)="是",1,"")</f>
        <v/>
      </c>
      <c r="Q36" s="60">
        <f t="shared" si="7"/>
        <v>1</v>
      </c>
    </row>
    <row r="37" spans="1:17" ht="18" thickBot="1">
      <c r="A37" s="62" t="str">
        <f>IFERROR(IF(LEFT(MID(填表!K12,1,FIND(" ",填表!K12)-1),1)="N","",MID(填表!K12,1,FIND(" ",填表!K12)-1)),"")</f>
        <v/>
      </c>
      <c r="B37" s="54" t="str">
        <f>IF(A37="","",填表!L12)</f>
        <v/>
      </c>
      <c r="C37" s="54" t="str">
        <f>IF(A37="","",填表!M12)</f>
        <v/>
      </c>
      <c r="D37" s="68" t="str">
        <f>IFERROR(IF(C37="全年",VLOOKUP(A37&amp;"min",分區計算參數!D:M,7,FALSE),VLOOKUP(A37&amp;"min",分區計算參數!D:M,10,FALSE)),"")</f>
        <v/>
      </c>
      <c r="E37" s="68" t="str">
        <f>IFERROR(IF(C37="全年",VLOOKUP(A37&amp;"m",分區計算參數!D:M,7,FALSE),VLOOKUP(A37&amp;"m",分區計算參數!D:M,10,FALSE)),"")</f>
        <v/>
      </c>
      <c r="F37" s="68" t="str">
        <f>IFERROR(IF(C37="全年",VLOOKUP(A37&amp;"max",分區計算參數!D:M,7,FALSE),VLOOKUP(A37&amp;"max",分區計算參數!D:M,10,FALSE)),"")</f>
        <v/>
      </c>
      <c r="G37" s="68" t="str">
        <f>IFERROR(VLOOKUP(A37&amp;"min",分區計算參數!D:G,4,FALSE),"")</f>
        <v/>
      </c>
      <c r="H37" s="68" t="str">
        <f>IFERROR(VLOOKUP(A37&amp;"m",分區計算參數!D:G,4,FALSE),"")</f>
        <v/>
      </c>
      <c r="I37" s="68" t="str">
        <f>IFERROR(VLOOKUP(A37&amp;"max",分區計算參數!D:G,4,FALSE),"")</f>
        <v/>
      </c>
      <c r="J37" s="68" t="str">
        <f>IFERROR(VLOOKUP(A37&amp;"max",分區計算參數!D:G,3,FALSE),"")</f>
        <v/>
      </c>
      <c r="K37" s="52" t="str">
        <f>IFERROR(VLOOKUP(A37&amp;"max",分區計算參數!D:T,17,FALSE),"")</f>
        <v/>
      </c>
      <c r="L37" s="52" t="str">
        <f>IFERROR(IF(C37="全年",VLOOKUP(A37&amp;"max",分區計算參數!D:Z,20,FALSE),VLOOKUP(A37&amp;"max",分區計算參數!D:Z,23,FALSE)),"")</f>
        <v/>
      </c>
      <c r="M37" s="52" t="str">
        <f>IFERROR(VLOOKUP(A37&amp;"max",分區計算參數!D:AA,24,FALSE),"")</f>
        <v/>
      </c>
      <c r="N37" s="84" t="str">
        <f>IFERROR(VLOOKUP(A37&amp;"max",分區計算參數!D:Q,14,FALSE)*B37,"")</f>
        <v/>
      </c>
      <c r="O37" s="271" t="str">
        <f>IFERROR(VLOOKUP(A37,SORi!B:C,2,FALSE),IF(A37&lt;&gt;"",1,""))</f>
        <v/>
      </c>
      <c r="P37" s="61" t="str">
        <f>IF(IF(A37="","",填表!N12)="是",1,"")</f>
        <v/>
      </c>
      <c r="Q37" s="60">
        <f t="shared" si="7"/>
        <v>1</v>
      </c>
    </row>
    <row r="38" spans="1:17" ht="18" thickBot="1">
      <c r="A38" s="62" t="str">
        <f>IFERROR(IF(LEFT(MID(填表!K13,1,FIND(" ",填表!K13)-1),1)="N","",MID(填表!K13,1,FIND(" ",填表!K13)-1)),"")</f>
        <v/>
      </c>
      <c r="B38" s="54" t="str">
        <f>IF(A38="","",填表!L13)</f>
        <v/>
      </c>
      <c r="C38" s="54" t="str">
        <f>IF(A38="","",填表!M13)</f>
        <v/>
      </c>
      <c r="D38" s="68" t="str">
        <f>IFERROR(IF(C38="全年",VLOOKUP(A38&amp;"min",分區計算參數!D:M,7,FALSE),VLOOKUP(A38&amp;"min",分區計算參數!D:M,10,FALSE)),"")</f>
        <v/>
      </c>
      <c r="E38" s="68" t="str">
        <f>IFERROR(IF(C38="全年",VLOOKUP(A38&amp;"m",分區計算參數!D:M,7,FALSE),VLOOKUP(A38&amp;"m",分區計算參數!D:M,10,FALSE)),"")</f>
        <v/>
      </c>
      <c r="F38" s="68" t="str">
        <f>IFERROR(IF(C38="全年",VLOOKUP(A38&amp;"max",分區計算參數!D:M,7,FALSE),VLOOKUP(A38&amp;"max",分區計算參數!D:M,10,FALSE)),"")</f>
        <v/>
      </c>
      <c r="G38" s="68" t="str">
        <f>IFERROR(VLOOKUP(A38&amp;"min",分區計算參數!D:G,4,FALSE),"")</f>
        <v/>
      </c>
      <c r="H38" s="68" t="str">
        <f>IFERROR(VLOOKUP(A38&amp;"m",分區計算參數!D:G,4,FALSE),"")</f>
        <v/>
      </c>
      <c r="I38" s="68" t="str">
        <f>IFERROR(VLOOKUP(A38&amp;"max",分區計算參數!D:G,4,FALSE),"")</f>
        <v/>
      </c>
      <c r="J38" s="68" t="str">
        <f>IFERROR(VLOOKUP(A38&amp;"max",分區計算參數!D:G,3,FALSE),"")</f>
        <v/>
      </c>
      <c r="K38" s="52" t="str">
        <f>IFERROR(VLOOKUP(A38&amp;"max",分區計算參數!D:T,17,FALSE),"")</f>
        <v/>
      </c>
      <c r="L38" s="52" t="str">
        <f>IFERROR(IF(C38="全年",VLOOKUP(A38&amp;"max",分區計算參數!D:Z,20,FALSE),VLOOKUP(A38&amp;"max",分區計算參數!D:Z,23,FALSE)),"")</f>
        <v/>
      </c>
      <c r="M38" s="52" t="str">
        <f>IFERROR(VLOOKUP(A38&amp;"max",分區計算參數!D:AA,24,FALSE),"")</f>
        <v/>
      </c>
      <c r="N38" s="84" t="str">
        <f>IFERROR(VLOOKUP(A38&amp;"max",分區計算參數!D:Q,14,FALSE)*B38,"")</f>
        <v/>
      </c>
      <c r="O38" s="271" t="str">
        <f>IFERROR(VLOOKUP(A38,SORi!B:C,2,FALSE),IF(A38&lt;&gt;"",1,""))</f>
        <v/>
      </c>
      <c r="P38" s="61" t="str">
        <f>IF(IF(A38="","",填表!N13)="是",1,"")</f>
        <v/>
      </c>
      <c r="Q38" s="60">
        <f t="shared" si="7"/>
        <v>1</v>
      </c>
    </row>
    <row r="39" spans="1:17" ht="18" thickBot="1">
      <c r="A39" s="62" t="str">
        <f>IFERROR(IF(LEFT(MID(填表!K14,1,FIND(" ",填表!K14)-1),1)="N","",MID(填表!K14,1,FIND(" ",填表!K14)-1)),"")</f>
        <v/>
      </c>
      <c r="B39" s="54" t="str">
        <f>IF(A39="","",填表!L14)</f>
        <v/>
      </c>
      <c r="C39" s="54" t="str">
        <f>IF(A39="","",填表!M14)</f>
        <v/>
      </c>
      <c r="D39" s="68" t="str">
        <f>IFERROR(IF(C39="全年",VLOOKUP(A39&amp;"min",分區計算參數!D:M,7,FALSE),VLOOKUP(A39&amp;"min",分區計算參數!D:M,10,FALSE)),"")</f>
        <v/>
      </c>
      <c r="E39" s="68" t="str">
        <f>IFERROR(IF(C39="全年",VLOOKUP(A39&amp;"m",分區計算參數!D:M,7,FALSE),VLOOKUP(A39&amp;"m",分區計算參數!D:M,10,FALSE)),"")</f>
        <v/>
      </c>
      <c r="F39" s="68" t="str">
        <f>IFERROR(IF(C39="全年",VLOOKUP(A39&amp;"max",分區計算參數!D:M,7,FALSE),VLOOKUP(A39&amp;"max",分區計算參數!D:M,10,FALSE)),"")</f>
        <v/>
      </c>
      <c r="G39" s="68" t="str">
        <f>IFERROR(VLOOKUP(A39&amp;"min",分區計算參數!D:G,4,FALSE),"")</f>
        <v/>
      </c>
      <c r="H39" s="68" t="str">
        <f>IFERROR(VLOOKUP(A39&amp;"m",分區計算參數!D:G,4,FALSE),"")</f>
        <v/>
      </c>
      <c r="I39" s="68" t="str">
        <f>IFERROR(VLOOKUP(A39&amp;"max",分區計算參數!D:G,4,FALSE),"")</f>
        <v/>
      </c>
      <c r="J39" s="68" t="str">
        <f>IFERROR(VLOOKUP(A39&amp;"max",分區計算參數!D:G,3,FALSE),"")</f>
        <v/>
      </c>
      <c r="K39" s="52" t="str">
        <f>IFERROR(VLOOKUP(A39&amp;"max",分區計算參數!D:T,17,FALSE),"")</f>
        <v/>
      </c>
      <c r="L39" s="52" t="str">
        <f>IFERROR(IF(C39="全年",VLOOKUP(A39&amp;"max",分區計算參數!D:Z,20,FALSE),VLOOKUP(A39&amp;"max",分區計算參數!D:Z,23,FALSE)),"")</f>
        <v/>
      </c>
      <c r="M39" s="52" t="str">
        <f>IFERROR(VLOOKUP(A39&amp;"max",分區計算參數!D:AA,24,FALSE),"")</f>
        <v/>
      </c>
      <c r="N39" s="84" t="str">
        <f>IFERROR(VLOOKUP(A39&amp;"max",分區計算參數!D:Q,14,FALSE)*B39,"")</f>
        <v/>
      </c>
      <c r="O39" s="271" t="str">
        <f>IFERROR(VLOOKUP(A39,SORi!B:C,2,FALSE),IF(A39&lt;&gt;"",1,""))</f>
        <v/>
      </c>
      <c r="P39" s="61" t="str">
        <f>IF(IF(A39="","",填表!N14)="是",1,"")</f>
        <v/>
      </c>
      <c r="Q39" s="60">
        <f t="shared" si="7"/>
        <v>1</v>
      </c>
    </row>
    <row r="40" spans="1:17" ht="20" thickBot="1">
      <c r="A40" s="108" t="s">
        <v>414</v>
      </c>
      <c r="B40" s="201">
        <f>SUM(B28:B39)</f>
        <v>123</v>
      </c>
      <c r="C40" s="202"/>
      <c r="D40" s="109">
        <f t="shared" ref="D40:N40" si="8">IFERROR(SUMPRODUCT(D28:D39,$B$28:$B$39)/SUM($B$28:$B$39),0)</f>
        <v>31.19</v>
      </c>
      <c r="E40" s="109">
        <f t="shared" si="8"/>
        <v>48.1</v>
      </c>
      <c r="F40" s="109">
        <f t="shared" si="8"/>
        <v>71.290000000000006</v>
      </c>
      <c r="G40" s="109">
        <f t="shared" si="8"/>
        <v>15.86</v>
      </c>
      <c r="H40" s="109">
        <f t="shared" si="8"/>
        <v>31.61</v>
      </c>
      <c r="I40" s="109">
        <f t="shared" si="8"/>
        <v>52.77</v>
      </c>
      <c r="J40" s="109">
        <f t="shared" si="8"/>
        <v>16.93</v>
      </c>
      <c r="K40" s="109">
        <f t="shared" si="8"/>
        <v>2500</v>
      </c>
      <c r="L40" s="109">
        <f t="shared" si="8"/>
        <v>2010</v>
      </c>
      <c r="M40" s="109">
        <f t="shared" si="8"/>
        <v>250</v>
      </c>
      <c r="N40" s="109">
        <f t="shared" si="8"/>
        <v>221.4</v>
      </c>
      <c r="O40" s="110"/>
      <c r="P40" s="61"/>
    </row>
    <row r="41" spans="1:17">
      <c r="A41" s="187" t="s">
        <v>417</v>
      </c>
      <c r="B41" s="188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8"/>
      <c r="O41" s="188"/>
      <c r="P41" s="189"/>
    </row>
    <row r="42" spans="1:17" ht="18" customHeight="1">
      <c r="A42" s="197" t="s">
        <v>418</v>
      </c>
      <c r="B42" s="198"/>
      <c r="C42" s="198"/>
      <c r="D42" s="198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87"/>
    </row>
    <row r="43" spans="1:17" ht="18" customHeight="1">
      <c r="A43" s="197" t="s">
        <v>419</v>
      </c>
      <c r="B43" s="198"/>
      <c r="C43" s="198"/>
      <c r="D43" s="198"/>
      <c r="E43" s="198"/>
      <c r="F43" s="198"/>
      <c r="G43" s="198"/>
      <c r="H43" s="198"/>
      <c r="I43" s="198"/>
      <c r="J43" s="198"/>
      <c r="K43" s="198"/>
      <c r="L43" s="198"/>
      <c r="M43" s="198"/>
      <c r="N43" s="198"/>
      <c r="O43" s="198"/>
      <c r="P43" s="87"/>
    </row>
    <row r="44" spans="1:17" ht="18" customHeight="1">
      <c r="A44" s="197" t="s">
        <v>420</v>
      </c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87"/>
    </row>
    <row r="45" spans="1:17" ht="18" customHeight="1">
      <c r="A45" s="197" t="s">
        <v>421</v>
      </c>
      <c r="B45" s="198"/>
      <c r="C45" s="198"/>
      <c r="D45" s="198"/>
      <c r="E45" s="198"/>
      <c r="F45" s="198"/>
      <c r="G45" s="198"/>
      <c r="H45" s="198"/>
      <c r="I45" s="198"/>
      <c r="J45" s="198"/>
      <c r="K45" s="198"/>
      <c r="L45" s="198"/>
      <c r="M45" s="198"/>
      <c r="N45" s="198"/>
      <c r="O45" s="198"/>
      <c r="P45" s="87"/>
    </row>
    <row r="46" spans="1:17" ht="18" customHeight="1">
      <c r="A46" s="197" t="s">
        <v>422</v>
      </c>
      <c r="B46" s="198"/>
      <c r="C46" s="198"/>
      <c r="D46" s="198"/>
      <c r="E46" s="198"/>
      <c r="F46" s="198"/>
      <c r="G46" s="198"/>
      <c r="H46" s="198"/>
      <c r="I46" s="198"/>
      <c r="J46" s="198"/>
      <c r="K46" s="198"/>
      <c r="L46" s="198"/>
      <c r="M46" s="198"/>
      <c r="N46" s="198"/>
      <c r="O46" s="198"/>
      <c r="P46" s="87"/>
    </row>
    <row r="47" spans="1:17" ht="18" customHeight="1">
      <c r="A47" s="197" t="s">
        <v>423</v>
      </c>
      <c r="B47" s="198"/>
      <c r="C47" s="198"/>
      <c r="D47" s="198"/>
      <c r="E47" s="198"/>
      <c r="F47" s="198"/>
      <c r="G47" s="198"/>
      <c r="H47" s="198"/>
      <c r="I47" s="198"/>
      <c r="J47" s="198"/>
      <c r="K47" s="198"/>
      <c r="L47" s="198"/>
      <c r="M47" s="198"/>
      <c r="N47" s="198"/>
      <c r="O47" s="198"/>
      <c r="P47" s="87"/>
    </row>
    <row r="48" spans="1:17" ht="17" customHeight="1" thickBot="1">
      <c r="A48" s="199" t="s">
        <v>424</v>
      </c>
      <c r="B48" s="200"/>
      <c r="C48" s="200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88"/>
    </row>
    <row r="49" spans="4:14">
      <c r="D49" s="82"/>
      <c r="E49" s="82"/>
      <c r="F49" s="82"/>
      <c r="G49" s="82"/>
      <c r="H49" s="82"/>
      <c r="I49" s="82"/>
      <c r="J49" s="83"/>
      <c r="K49" s="83"/>
      <c r="L49" s="83"/>
      <c r="M49" s="83"/>
      <c r="N49" s="83"/>
    </row>
  </sheetData>
  <mergeCells count="28">
    <mergeCell ref="A2:A3"/>
    <mergeCell ref="A1:E1"/>
    <mergeCell ref="A25:A27"/>
    <mergeCell ref="C25:C27"/>
    <mergeCell ref="D25:F25"/>
    <mergeCell ref="B16:C16"/>
    <mergeCell ref="B17:C17"/>
    <mergeCell ref="B18:C18"/>
    <mergeCell ref="B19:C19"/>
    <mergeCell ref="B20:C20"/>
    <mergeCell ref="B21:C21"/>
    <mergeCell ref="B22:C22"/>
    <mergeCell ref="A47:O47"/>
    <mergeCell ref="A48:O48"/>
    <mergeCell ref="B40:C40"/>
    <mergeCell ref="A46:O46"/>
    <mergeCell ref="A42:O42"/>
    <mergeCell ref="A43:O43"/>
    <mergeCell ref="A44:O44"/>
    <mergeCell ref="A45:O45"/>
    <mergeCell ref="S25:S27"/>
    <mergeCell ref="P25:P27"/>
    <mergeCell ref="A41:P41"/>
    <mergeCell ref="G25:I25"/>
    <mergeCell ref="D26:F26"/>
    <mergeCell ref="G26:I26"/>
    <mergeCell ref="J26:J27"/>
    <mergeCell ref="B26:B27"/>
  </mergeCells>
  <phoneticPr fontId="7" type="noConversion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97E43-DD10-5D45-8621-266B659FBAD6}">
  <dimension ref="A1:F17"/>
  <sheetViews>
    <sheetView workbookViewId="0">
      <selection activeCell="C4" sqref="C4:D4"/>
    </sheetView>
  </sheetViews>
  <sheetFormatPr baseColWidth="10" defaultColWidth="18.28515625" defaultRowHeight="18"/>
  <cols>
    <col min="1" max="1" width="28.28515625" style="70" customWidth="1"/>
    <col min="2" max="2" width="9.5703125" style="70" customWidth="1"/>
    <col min="3" max="3" width="18.28515625" style="70"/>
    <col min="4" max="4" width="33.28515625" style="70" customWidth="1"/>
    <col min="5" max="16384" width="18.28515625" style="70"/>
  </cols>
  <sheetData>
    <row r="1" spans="1:6" ht="19" thickBot="1">
      <c r="A1" s="224" t="s">
        <v>1115</v>
      </c>
      <c r="B1" s="225"/>
      <c r="C1" s="225"/>
      <c r="D1" s="225"/>
      <c r="E1" s="226"/>
    </row>
    <row r="2" spans="1:6" ht="21">
      <c r="A2" s="227" t="s">
        <v>425</v>
      </c>
      <c r="B2" s="71" t="s">
        <v>426</v>
      </c>
      <c r="C2" s="229" t="s">
        <v>427</v>
      </c>
      <c r="D2" s="230"/>
      <c r="E2" s="227" t="s">
        <v>26</v>
      </c>
    </row>
    <row r="3" spans="1:6" ht="23" thickBot="1">
      <c r="A3" s="228"/>
      <c r="B3" s="72" t="s">
        <v>428</v>
      </c>
      <c r="C3" s="231" t="s">
        <v>25</v>
      </c>
      <c r="D3" s="232"/>
      <c r="E3" s="228"/>
    </row>
    <row r="4" spans="1:6" ht="20" thickBot="1">
      <c r="A4" s="105" t="str">
        <f>IFERROR(IF(LEFT(MID(填表!K3,1,FIND(" ",填表!K3)-1),1)&lt;&gt;"N","",MID(填表!K3,1,FIND(" ",填表!K3)-1)),"")</f>
        <v>N312</v>
      </c>
      <c r="B4" s="106">
        <f>IF(A4="","",填表!L3)</f>
        <v>132</v>
      </c>
      <c r="C4" s="217">
        <f>IFERROR(IF(OR(A4="N211",A4="N212",A4="N22",A4="N8"),VLOOKUP(A4,免評估分區計算參數!$B$3:$F$33,5,FALSE),VLOOKUP(A4,免評估分區計算參數!$B$3:$F$33,5,FALSE)*B4),"")</f>
        <v>4659.5999999999995</v>
      </c>
      <c r="D4" s="218"/>
      <c r="E4" s="106">
        <f>IFERROR(C4*BERSe評估總表!$F$8,"")</f>
        <v>4659.5999999999995</v>
      </c>
      <c r="F4" s="70">
        <f>IF(A4&lt;&gt;"",0,1)</f>
        <v>0</v>
      </c>
    </row>
    <row r="5" spans="1:6" ht="20" thickBot="1">
      <c r="A5" s="105" t="str">
        <f>IFERROR(IF(LEFT(MID(填表!K4,1,FIND(" ",填表!K4)-1),1)&lt;&gt;"N","",MID(填表!K4,1,FIND(" ",填表!K4)-1)),"")</f>
        <v>N111</v>
      </c>
      <c r="B5" s="106">
        <f>IF(A5="","",填表!L4)</f>
        <v>112</v>
      </c>
      <c r="C5" s="217">
        <f>IFERROR(IF(OR(A5="N211",A5="N212",A5="N22",A5="N8"),VLOOKUP(A5,免評估分區計算參數!$B$3:$F$33,5,FALSE),VLOOKUP(A5,免評估分區計算參數!$B$3:$F$33,5,FALSE)*B5),"")</f>
        <v>36960</v>
      </c>
      <c r="D5" s="218"/>
      <c r="E5" s="106">
        <f>IFERROR(C5*BERSe評估總表!$F$8,"")</f>
        <v>36960</v>
      </c>
      <c r="F5" s="70">
        <f t="shared" ref="F5:F15" si="0">IF(A5&lt;&gt;"",0,1)</f>
        <v>0</v>
      </c>
    </row>
    <row r="6" spans="1:6" ht="20" thickBot="1">
      <c r="A6" s="105" t="str">
        <f>IFERROR(IF(LEFT(MID(填表!K5,1,FIND(" ",填表!K5)-1),1)&lt;&gt;"N","",MID(填表!K5,1,FIND(" ",填表!K5)-1)),"")</f>
        <v/>
      </c>
      <c r="B6" s="106" t="str">
        <f>IF(A6="","",填表!L5)</f>
        <v/>
      </c>
      <c r="C6" s="217" t="str">
        <f>IFERROR(IF(OR(A6="N211",A6="N212",A6="N22",A6="N8"),VLOOKUP(A6,免評估分區計算參數!$B$3:$F$33,5,FALSE),VLOOKUP(A6,免評估分區計算參數!$B$3:$F$33,5,FALSE)*B6),"")</f>
        <v/>
      </c>
      <c r="D6" s="218"/>
      <c r="E6" s="106" t="str">
        <f>IFERROR(C6*BERSe評估總表!$F$8,"")</f>
        <v/>
      </c>
      <c r="F6" s="70">
        <f t="shared" si="0"/>
        <v>1</v>
      </c>
    </row>
    <row r="7" spans="1:6" ht="20" thickBot="1">
      <c r="A7" s="105" t="str">
        <f>IFERROR(IF(LEFT(MID(填表!K6,1,FIND(" ",填表!K6)-1),1)&lt;&gt;"N","",MID(填表!K6,1,FIND(" ",填表!K6)-1)),"")</f>
        <v>N8</v>
      </c>
      <c r="B7" s="106">
        <f>IF(A7="","",填表!L6)</f>
        <v>123</v>
      </c>
      <c r="C7" s="217">
        <f>IFERROR(IF(OR(A7="N211",A7="N212",A7="N22",A7="N8"),VLOOKUP(A7,免評估分區計算參數!$B$3:$F$33,5,FALSE),VLOOKUP(A7,免評估分區計算參數!$B$3:$F$33,5,FALSE)*B7),"")</f>
        <v>6273</v>
      </c>
      <c r="D7" s="218"/>
      <c r="E7" s="106">
        <f>IFERROR(C7*BERSe評估總表!$F$8,"")</f>
        <v>6273</v>
      </c>
      <c r="F7" s="70">
        <f t="shared" si="0"/>
        <v>0</v>
      </c>
    </row>
    <row r="8" spans="1:6" ht="20" thickBot="1">
      <c r="A8" s="105" t="str">
        <f>IFERROR(IF(LEFT(MID(填表!K7,1,FIND(" ",填表!K7)-1),1)&lt;&gt;"N","",MID(填表!K7,1,FIND(" ",填表!K7)-1)),"")</f>
        <v>N211</v>
      </c>
      <c r="B8" s="106">
        <f>IF(A8="","",填表!L7)</f>
        <v>222</v>
      </c>
      <c r="C8" s="217">
        <f>IFERROR(IF(OR(A8="N211",A8="N212",A8="N22",A8="N8"),VLOOKUP(A8,免評估分區計算參數!$B$3:$F$33,5,FALSE),VLOOKUP(A8,免評估分區計算參數!$B$3:$F$33,5,FALSE)*B8),"")</f>
        <v>0</v>
      </c>
      <c r="D8" s="218"/>
      <c r="E8" s="106">
        <f>IFERROR(C8*BERSe評估總表!$F$8,"")</f>
        <v>0</v>
      </c>
      <c r="F8" s="70">
        <f t="shared" si="0"/>
        <v>0</v>
      </c>
    </row>
    <row r="9" spans="1:6" ht="20" thickBot="1">
      <c r="A9" s="105" t="str">
        <f>IFERROR(IF(LEFT(MID(填表!K8,1,FIND(" ",填表!K8)-1),1)&lt;&gt;"N","",MID(填表!K8,1,FIND(" ",填表!K8)-1)),"")</f>
        <v/>
      </c>
      <c r="B9" s="106" t="str">
        <f>IF(A9="","",填表!L8)</f>
        <v/>
      </c>
      <c r="C9" s="217" t="str">
        <f>IFERROR(IF(OR(A9="N211",A9="N212",A9="N22",A9="N8"),VLOOKUP(A9,免評估分區計算參數!$B$3:$F$33,5,FALSE),VLOOKUP(A9,免評估分區計算參數!$B$3:$F$33,5,FALSE)*B9),"")</f>
        <v/>
      </c>
      <c r="D9" s="218"/>
      <c r="E9" s="106" t="str">
        <f>IFERROR(C9*BERSe評估總表!$F$8,"")</f>
        <v/>
      </c>
      <c r="F9" s="70">
        <f t="shared" si="0"/>
        <v>1</v>
      </c>
    </row>
    <row r="10" spans="1:6" ht="20" thickBot="1">
      <c r="A10" s="105" t="str">
        <f>IFERROR(IF(LEFT(MID(填表!K9,1,FIND(" ",填表!K9)-1),1)&lt;&gt;"N","",MID(填表!K9,1,FIND(" ",填表!K9)-1)),"")</f>
        <v/>
      </c>
      <c r="B10" s="106" t="str">
        <f>IF(A10="","",填表!L9)</f>
        <v/>
      </c>
      <c r="C10" s="217" t="str">
        <f>IFERROR(IF(OR(A10="N211",A10="N212",A10="N22",A10="N8"),VLOOKUP(A10,免評估分區計算參數!$B$3:$F$33,5,FALSE),VLOOKUP(A10,免評估分區計算參數!$B$3:$F$33,5,FALSE)*B10),"")</f>
        <v/>
      </c>
      <c r="D10" s="218"/>
      <c r="E10" s="106" t="str">
        <f>IFERROR(C10*BERSe評估總表!$F$8,"")</f>
        <v/>
      </c>
      <c r="F10" s="70">
        <f t="shared" si="0"/>
        <v>1</v>
      </c>
    </row>
    <row r="11" spans="1:6" ht="20" thickBot="1">
      <c r="A11" s="105" t="str">
        <f>IFERROR(IF(LEFT(MID(填表!K10,1,FIND(" ",填表!K10)-1),1)&lt;&gt;"N","",MID(填表!K10,1,FIND(" ",填表!K10)-1)),"")</f>
        <v/>
      </c>
      <c r="B11" s="106" t="str">
        <f>IF(A11="","",填表!L10)</f>
        <v/>
      </c>
      <c r="C11" s="217" t="str">
        <f>IFERROR(IF(OR(A11="N211",A11="N212",A11="N22",A11="N8"),VLOOKUP(A11,免評估分區計算參數!$B$3:$F$33,5,FALSE),VLOOKUP(A11,免評估分區計算參數!$B$3:$F$33,5,FALSE)*B11),"")</f>
        <v/>
      </c>
      <c r="D11" s="218"/>
      <c r="E11" s="106" t="str">
        <f>IFERROR(C11*BERSe評估總表!$F$8,"")</f>
        <v/>
      </c>
      <c r="F11" s="70">
        <f t="shared" si="0"/>
        <v>1</v>
      </c>
    </row>
    <row r="12" spans="1:6" ht="20" thickBot="1">
      <c r="A12" s="105" t="str">
        <f>IFERROR(IF(LEFT(MID(填表!K11,1,FIND(" ",填表!K11)-1),1)&lt;&gt;"N","",MID(填表!K11,1,FIND(" ",填表!K11)-1)),"")</f>
        <v/>
      </c>
      <c r="B12" s="106" t="str">
        <f>IF(A12="","",填表!L11)</f>
        <v/>
      </c>
      <c r="C12" s="217" t="str">
        <f>IFERROR(IF(OR(A12="N211",A12="N212",A12="N22",A12="N8"),VLOOKUP(A12,免評估分區計算參數!$B$3:$F$33,5,FALSE),VLOOKUP(A12,免評估分區計算參數!$B$3:$F$33,5,FALSE)*B12),"")</f>
        <v/>
      </c>
      <c r="D12" s="218"/>
      <c r="E12" s="106" t="str">
        <f>IFERROR(C12*BERSe評估總表!$F$8,"")</f>
        <v/>
      </c>
      <c r="F12" s="70">
        <f t="shared" si="0"/>
        <v>1</v>
      </c>
    </row>
    <row r="13" spans="1:6" ht="20" thickBot="1">
      <c r="A13" s="105" t="str">
        <f>IFERROR(IF(LEFT(MID(填表!K12,1,FIND(" ",填表!K12)-1),1)&lt;&gt;"N","",MID(填表!K12,1,FIND(" ",填表!K12)-1)),"")</f>
        <v/>
      </c>
      <c r="B13" s="106" t="str">
        <f>IF(A13="","",填表!L12)</f>
        <v/>
      </c>
      <c r="C13" s="217" t="str">
        <f>IFERROR(IF(OR(A13="N211",A13="N212",A13="N22",A13="N8"),VLOOKUP(A13,免評估分區計算參數!$B$3:$F$33,5,FALSE),VLOOKUP(A13,免評估分區計算參數!$B$3:$F$33,5,FALSE)*B13),"")</f>
        <v/>
      </c>
      <c r="D13" s="218"/>
      <c r="E13" s="106" t="str">
        <f>IFERROR(C13*BERSe評估總表!$F$8,"")</f>
        <v/>
      </c>
      <c r="F13" s="70">
        <f t="shared" si="0"/>
        <v>1</v>
      </c>
    </row>
    <row r="14" spans="1:6" ht="20" thickBot="1">
      <c r="A14" s="105" t="str">
        <f>IFERROR(IF(LEFT(MID(填表!K13,1,FIND(" ",填表!K13)-1),1)&lt;&gt;"N","",MID(填表!K13,1,FIND(" ",填表!K13)-1)),"")</f>
        <v/>
      </c>
      <c r="B14" s="106" t="str">
        <f>IF(A14="","",填表!L13)</f>
        <v/>
      </c>
      <c r="C14" s="217" t="str">
        <f>IFERROR(IF(OR(A14="N211",A14="N212",A14="N22",A14="N8"),VLOOKUP(A14,免評估分區計算參數!$B$3:$F$33,5,FALSE),VLOOKUP(A14,免評估分區計算參數!$B$3:$F$33,5,FALSE)*B14),"")</f>
        <v/>
      </c>
      <c r="D14" s="218"/>
      <c r="E14" s="106" t="str">
        <f>IFERROR(C14*BERSe評估總表!$F$8,"")</f>
        <v/>
      </c>
      <c r="F14" s="70">
        <f t="shared" si="0"/>
        <v>1</v>
      </c>
    </row>
    <row r="15" spans="1:6" ht="20" thickBot="1">
      <c r="A15" s="105" t="str">
        <f>IFERROR(IF(LEFT(MID(填表!K14,1,FIND(" ",填表!K14)-1),1)&lt;&gt;"N","",MID(填表!K14,1,FIND(" ",填表!K14)-1)),"")</f>
        <v/>
      </c>
      <c r="B15" s="106" t="str">
        <f>IF(A15="","",填表!L14)</f>
        <v/>
      </c>
      <c r="C15" s="221" t="str">
        <f>IFERROR(IF(OR(A15="N211",A15="N212",A15="N22",A15="N8"),VLOOKUP(A15,免評估分區計算參數!$B$3:$F$33,5,FALSE),VLOOKUP(A15,免評估分區計算參數!$B$3:$F$33,5,FALSE)*B15),"")</f>
        <v/>
      </c>
      <c r="D15" s="222"/>
      <c r="E15" s="106" t="str">
        <f>IFERROR(C15*BERSe評估總表!$F$8,"")</f>
        <v/>
      </c>
      <c r="F15" s="70">
        <f t="shared" si="0"/>
        <v>1</v>
      </c>
    </row>
    <row r="16" spans="1:6" ht="23" thickBot="1">
      <c r="A16" s="73" t="s">
        <v>429</v>
      </c>
      <c r="B16" s="219" t="s">
        <v>430</v>
      </c>
      <c r="C16" s="223"/>
      <c r="D16" s="107">
        <f>SUM(B4:B15)</f>
        <v>589</v>
      </c>
      <c r="E16" s="74" t="s">
        <v>431</v>
      </c>
    </row>
    <row r="17" spans="1:5" ht="22" thickBot="1">
      <c r="A17" s="73" t="s">
        <v>432</v>
      </c>
      <c r="B17" s="219" t="s">
        <v>433</v>
      </c>
      <c r="C17" s="220"/>
      <c r="D17" s="107">
        <f>SUM(E4:E15)</f>
        <v>47892.6</v>
      </c>
      <c r="E17" s="74" t="s">
        <v>23</v>
      </c>
    </row>
  </sheetData>
  <mergeCells count="19">
    <mergeCell ref="A1:E1"/>
    <mergeCell ref="A2:A3"/>
    <mergeCell ref="C2:D2"/>
    <mergeCell ref="C3:D3"/>
    <mergeCell ref="E2:E3"/>
    <mergeCell ref="C4:D4"/>
    <mergeCell ref="C6:D6"/>
    <mergeCell ref="C7:D7"/>
    <mergeCell ref="C8:D8"/>
    <mergeCell ref="C9:D9"/>
    <mergeCell ref="C12:D12"/>
    <mergeCell ref="B17:C17"/>
    <mergeCell ref="C5:D5"/>
    <mergeCell ref="C13:D13"/>
    <mergeCell ref="C14:D14"/>
    <mergeCell ref="C15:D15"/>
    <mergeCell ref="B16:C16"/>
    <mergeCell ref="C10:D10"/>
    <mergeCell ref="C11:D11"/>
  </mergeCells>
  <phoneticPr fontId="7" type="noConversion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9DC27-D627-FD46-A492-83BEA4595CBB}">
  <dimension ref="A1:AF34"/>
  <sheetViews>
    <sheetView topLeftCell="A3" workbookViewId="0">
      <selection activeCell="I38" sqref="I38"/>
    </sheetView>
  </sheetViews>
  <sheetFormatPr baseColWidth="10" defaultRowHeight="16"/>
  <cols>
    <col min="2" max="2" width="17" bestFit="1" customWidth="1"/>
    <col min="3" max="3" width="21.85546875" customWidth="1"/>
    <col min="4" max="4" width="7" customWidth="1"/>
    <col min="5" max="5" width="12.42578125" customWidth="1"/>
    <col min="6" max="8" width="11.5703125" customWidth="1"/>
    <col min="9" max="9" width="15" customWidth="1"/>
    <col min="10" max="10" width="10.28515625" bestFit="1" customWidth="1"/>
    <col min="11" max="11" width="4.140625" bestFit="1" customWidth="1"/>
    <col min="12" max="12" width="6.5703125" customWidth="1"/>
    <col min="13" max="13" width="22.85546875" customWidth="1"/>
    <col min="14" max="14" width="15.140625" customWidth="1"/>
    <col min="15" max="15" width="16" customWidth="1"/>
    <col min="16" max="16" width="5.42578125" customWidth="1"/>
    <col min="17" max="17" width="23.28515625" customWidth="1"/>
    <col min="18" max="18" width="17.140625" customWidth="1"/>
    <col min="19" max="19" width="18.5703125" bestFit="1" customWidth="1"/>
    <col min="20" max="20" width="15.140625" bestFit="1" customWidth="1"/>
    <col min="21" max="21" width="25.28515625" customWidth="1"/>
    <col min="22" max="22" width="22.7109375" customWidth="1"/>
    <col min="24" max="24" width="13.85546875" bestFit="1" customWidth="1"/>
    <col min="25" max="25" width="15.140625" bestFit="1" customWidth="1"/>
    <col min="26" max="26" width="14.140625" customWidth="1"/>
    <col min="28" max="28" width="12.85546875" bestFit="1" customWidth="1"/>
    <col min="29" max="29" width="5.140625" bestFit="1" customWidth="1"/>
    <col min="30" max="30" width="16.7109375" bestFit="1" customWidth="1"/>
    <col min="31" max="31" width="8.7109375" bestFit="1" customWidth="1"/>
    <col min="32" max="32" width="30" customWidth="1"/>
  </cols>
  <sheetData>
    <row r="1" spans="1:32">
      <c r="A1" s="234" t="s">
        <v>763</v>
      </c>
      <c r="B1" s="115" t="s">
        <v>758</v>
      </c>
      <c r="C1" t="s">
        <v>722</v>
      </c>
      <c r="D1" t="s">
        <v>753</v>
      </c>
      <c r="E1" s="78">
        <f>_xlfn.XLOOKUP(填表!G8,免評估設備!M2:M13,免評估設備!N2:N13)</f>
        <v>0.6</v>
      </c>
      <c r="F1" s="233">
        <f>SUM(填表!U3:U10)*E1+SUM(填表!U15:U22)*E6</f>
        <v>0</v>
      </c>
      <c r="I1" s="80" t="s">
        <v>782</v>
      </c>
      <c r="J1" s="80" t="s">
        <v>781</v>
      </c>
      <c r="L1" s="80" t="s">
        <v>695</v>
      </c>
      <c r="M1" s="80" t="s">
        <v>710</v>
      </c>
      <c r="N1" s="80" t="s">
        <v>723</v>
      </c>
      <c r="O1" s="80" t="s">
        <v>724</v>
      </c>
      <c r="Q1" s="80" t="s">
        <v>735</v>
      </c>
      <c r="R1" s="80" t="s">
        <v>725</v>
      </c>
      <c r="S1" s="80" t="s">
        <v>996</v>
      </c>
      <c r="T1" s="80" t="s">
        <v>726</v>
      </c>
      <c r="U1" s="80" t="s">
        <v>741</v>
      </c>
      <c r="V1" s="80" t="s">
        <v>736</v>
      </c>
      <c r="X1" s="80" t="s">
        <v>742</v>
      </c>
      <c r="Y1" s="80" t="s">
        <v>726</v>
      </c>
      <c r="Z1" s="80" t="s">
        <v>743</v>
      </c>
      <c r="AB1" s="80" t="s">
        <v>744</v>
      </c>
      <c r="AC1" s="80" t="s">
        <v>747</v>
      </c>
      <c r="AD1" s="80" t="s">
        <v>745</v>
      </c>
      <c r="AE1" s="80" t="s">
        <v>746</v>
      </c>
      <c r="AF1" s="80" t="s">
        <v>736</v>
      </c>
    </row>
    <row r="2" spans="1:32">
      <c r="A2" s="234"/>
      <c r="B2" s="115"/>
      <c r="C2" t="s">
        <v>779</v>
      </c>
      <c r="D2" t="s">
        <v>754</v>
      </c>
      <c r="E2" s="111" t="s">
        <v>1121</v>
      </c>
      <c r="F2" s="233"/>
      <c r="I2" s="7" t="s">
        <v>783</v>
      </c>
      <c r="J2" s="7">
        <v>1</v>
      </c>
      <c r="L2" s="7" t="s">
        <v>700</v>
      </c>
      <c r="M2" s="7" t="s">
        <v>712</v>
      </c>
      <c r="N2" s="42">
        <v>0.55000000000000004</v>
      </c>
      <c r="O2" s="42">
        <v>0.8</v>
      </c>
      <c r="Q2" s="7" t="s">
        <v>740</v>
      </c>
      <c r="R2" s="7">
        <v>4</v>
      </c>
      <c r="S2" s="7">
        <v>320</v>
      </c>
      <c r="T2" s="7">
        <v>45</v>
      </c>
      <c r="U2" s="7">
        <v>0.84</v>
      </c>
      <c r="V2" s="7"/>
      <c r="X2" s="7">
        <v>750</v>
      </c>
      <c r="Y2" s="7">
        <v>60</v>
      </c>
      <c r="Z2" s="7">
        <v>2.6</v>
      </c>
      <c r="AB2" s="7">
        <v>0.6</v>
      </c>
      <c r="AC2" s="7" t="s">
        <v>748</v>
      </c>
      <c r="AD2" s="7">
        <v>4</v>
      </c>
      <c r="AE2" s="7">
        <v>5.5</v>
      </c>
      <c r="AF2" s="7"/>
    </row>
    <row r="3" spans="1:32">
      <c r="A3" s="234"/>
      <c r="B3" s="115"/>
      <c r="C3" t="s">
        <v>780</v>
      </c>
      <c r="D3" t="s">
        <v>755</v>
      </c>
      <c r="E3" s="111" t="s">
        <v>1121</v>
      </c>
      <c r="F3" s="233"/>
      <c r="I3" s="7" t="s">
        <v>784</v>
      </c>
      <c r="J3" s="7">
        <v>0.7</v>
      </c>
      <c r="L3" s="7" t="s">
        <v>701</v>
      </c>
      <c r="M3" s="7" t="s">
        <v>713</v>
      </c>
      <c r="N3" s="42">
        <v>0.6</v>
      </c>
      <c r="O3" s="42">
        <v>0.9</v>
      </c>
      <c r="Q3" s="7" t="s">
        <v>740</v>
      </c>
      <c r="R3" s="7">
        <v>6</v>
      </c>
      <c r="S3" s="7">
        <v>450</v>
      </c>
      <c r="T3" s="7">
        <v>45</v>
      </c>
      <c r="U3" s="7">
        <v>1.18</v>
      </c>
      <c r="V3" s="7" t="s">
        <v>727</v>
      </c>
      <c r="X3" s="7">
        <v>750</v>
      </c>
      <c r="Y3" s="7">
        <v>90</v>
      </c>
      <c r="Z3" s="7">
        <v>3.9</v>
      </c>
      <c r="AB3" s="7">
        <v>0.6</v>
      </c>
      <c r="AC3" s="7" t="s">
        <v>749</v>
      </c>
      <c r="AD3" s="7">
        <v>4</v>
      </c>
      <c r="AE3" s="7">
        <v>8</v>
      </c>
      <c r="AF3" s="7"/>
    </row>
    <row r="4" spans="1:32">
      <c r="A4" s="234"/>
      <c r="B4" s="115"/>
      <c r="C4" t="s">
        <v>781</v>
      </c>
      <c r="D4" t="s">
        <v>756</v>
      </c>
      <c r="E4" s="111" t="s">
        <v>1121</v>
      </c>
      <c r="F4" s="233"/>
      <c r="I4" s="7" t="s">
        <v>785</v>
      </c>
      <c r="J4" s="7">
        <v>0.5</v>
      </c>
      <c r="L4" s="7" t="s">
        <v>702</v>
      </c>
      <c r="M4" s="7" t="s">
        <v>714</v>
      </c>
      <c r="N4" s="42">
        <v>0.6</v>
      </c>
      <c r="O4" s="42">
        <v>0.9</v>
      </c>
      <c r="Q4" s="7" t="s">
        <v>740</v>
      </c>
      <c r="R4" s="7">
        <v>8</v>
      </c>
      <c r="S4" s="7">
        <v>550</v>
      </c>
      <c r="T4" s="7">
        <v>45</v>
      </c>
      <c r="U4" s="7">
        <v>1.44</v>
      </c>
      <c r="V4" s="7"/>
      <c r="X4" s="7">
        <v>750</v>
      </c>
      <c r="Y4" s="7">
        <v>105</v>
      </c>
      <c r="Z4" s="7">
        <v>4.5999999999999996</v>
      </c>
      <c r="AB4" s="7">
        <v>0.8</v>
      </c>
      <c r="AC4" s="7" t="s">
        <v>748</v>
      </c>
      <c r="AD4" s="7">
        <v>4</v>
      </c>
      <c r="AE4" s="7">
        <v>5.5</v>
      </c>
      <c r="AF4" s="7" t="s">
        <v>750</v>
      </c>
    </row>
    <row r="5" spans="1:32">
      <c r="A5" s="234"/>
      <c r="B5" s="115"/>
      <c r="C5" t="s">
        <v>787</v>
      </c>
      <c r="D5" t="s">
        <v>757</v>
      </c>
      <c r="E5" s="111" t="s">
        <v>1121</v>
      </c>
      <c r="F5" s="233"/>
      <c r="I5" s="80" t="s">
        <v>1126</v>
      </c>
      <c r="J5" s="80" t="s">
        <v>790</v>
      </c>
      <c r="L5" s="7" t="s">
        <v>703</v>
      </c>
      <c r="M5" s="7" t="s">
        <v>715</v>
      </c>
      <c r="N5" s="42">
        <v>0.6</v>
      </c>
      <c r="O5" s="42">
        <v>0.9</v>
      </c>
      <c r="Q5" s="7" t="s">
        <v>740</v>
      </c>
      <c r="R5" s="7">
        <v>10</v>
      </c>
      <c r="S5" s="7">
        <v>700</v>
      </c>
      <c r="T5" s="7">
        <v>45</v>
      </c>
      <c r="U5" s="7">
        <v>1.83</v>
      </c>
      <c r="V5" s="7"/>
      <c r="X5" s="7">
        <v>1000</v>
      </c>
      <c r="Y5" s="7">
        <v>60</v>
      </c>
      <c r="Z5" s="7">
        <v>3.5</v>
      </c>
      <c r="AB5" s="7">
        <v>0.8</v>
      </c>
      <c r="AC5" s="7" t="s">
        <v>749</v>
      </c>
      <c r="AD5" s="7">
        <v>4</v>
      </c>
      <c r="AE5" s="7">
        <v>8</v>
      </c>
      <c r="AF5" s="7" t="s">
        <v>751</v>
      </c>
    </row>
    <row r="6" spans="1:32">
      <c r="A6" s="234"/>
      <c r="B6" s="115" t="s">
        <v>759</v>
      </c>
      <c r="C6" t="s">
        <v>786</v>
      </c>
      <c r="D6" t="s">
        <v>760</v>
      </c>
      <c r="E6" s="78">
        <f>_xlfn.XLOOKUP(填表!G8,免評估設備!M2:M13,免評估設備!O2:O13)</f>
        <v>0.8</v>
      </c>
      <c r="F6" s="233"/>
      <c r="I6" s="112" t="s">
        <v>1124</v>
      </c>
      <c r="J6" s="7">
        <v>1</v>
      </c>
      <c r="L6" s="7" t="s">
        <v>704</v>
      </c>
      <c r="M6" s="7" t="s">
        <v>716</v>
      </c>
      <c r="N6" s="42">
        <v>0.2</v>
      </c>
      <c r="O6" s="42">
        <v>0.4</v>
      </c>
      <c r="Q6" s="7" t="s">
        <v>740</v>
      </c>
      <c r="R6" s="7">
        <v>12</v>
      </c>
      <c r="S6" s="7">
        <v>800</v>
      </c>
      <c r="T6" s="7">
        <v>45</v>
      </c>
      <c r="U6" s="7">
        <v>2.09</v>
      </c>
      <c r="V6" s="7"/>
      <c r="X6" s="7">
        <v>1000</v>
      </c>
      <c r="Y6" s="7">
        <v>90</v>
      </c>
      <c r="Z6" s="7">
        <v>5.2</v>
      </c>
      <c r="AB6" s="7">
        <v>1</v>
      </c>
      <c r="AC6" s="7" t="s">
        <v>748</v>
      </c>
      <c r="AD6" s="7">
        <v>3.5</v>
      </c>
      <c r="AE6" s="7">
        <v>5.5</v>
      </c>
      <c r="AF6" s="7"/>
    </row>
    <row r="7" spans="1:32">
      <c r="A7" s="234"/>
      <c r="B7" s="115"/>
      <c r="C7" t="s">
        <v>779</v>
      </c>
      <c r="D7" t="s">
        <v>761</v>
      </c>
      <c r="E7" s="111" t="s">
        <v>1121</v>
      </c>
      <c r="F7" s="233"/>
      <c r="I7" s="112" t="s">
        <v>1125</v>
      </c>
      <c r="J7" s="7">
        <v>0.8</v>
      </c>
      <c r="L7" s="7" t="s">
        <v>705</v>
      </c>
      <c r="M7" s="7" t="s">
        <v>717</v>
      </c>
      <c r="N7" s="42">
        <v>0.55000000000000004</v>
      </c>
      <c r="O7" s="42">
        <v>0.9</v>
      </c>
      <c r="Q7" s="7" t="s">
        <v>740</v>
      </c>
      <c r="R7" s="7">
        <v>15</v>
      </c>
      <c r="S7" s="7">
        <v>1000</v>
      </c>
      <c r="T7" s="7">
        <v>45</v>
      </c>
      <c r="U7" s="7">
        <v>2.62</v>
      </c>
      <c r="V7" s="7"/>
      <c r="X7" s="7">
        <v>1000</v>
      </c>
      <c r="Y7" s="7">
        <v>105</v>
      </c>
      <c r="Z7" s="7">
        <v>6.1</v>
      </c>
      <c r="AB7" s="7">
        <v>1</v>
      </c>
      <c r="AC7" s="7" t="s">
        <v>749</v>
      </c>
      <c r="AD7" s="7">
        <v>3.5</v>
      </c>
      <c r="AE7" s="7">
        <v>8</v>
      </c>
      <c r="AF7" s="7" t="s">
        <v>750</v>
      </c>
    </row>
    <row r="8" spans="1:32">
      <c r="A8" s="234"/>
      <c r="B8" s="115"/>
      <c r="C8" t="s">
        <v>789</v>
      </c>
      <c r="D8" t="s">
        <v>762</v>
      </c>
      <c r="E8" s="111" t="s">
        <v>1121</v>
      </c>
      <c r="F8" s="233"/>
      <c r="L8" s="7" t="s">
        <v>706</v>
      </c>
      <c r="M8" s="7" t="s">
        <v>718</v>
      </c>
      <c r="N8" s="42">
        <v>0.55000000000000004</v>
      </c>
      <c r="O8" s="42">
        <v>0.8</v>
      </c>
      <c r="Q8" s="7" t="s">
        <v>740</v>
      </c>
      <c r="R8" s="7">
        <v>20</v>
      </c>
      <c r="S8" s="7">
        <v>1350</v>
      </c>
      <c r="T8" s="7">
        <v>45</v>
      </c>
      <c r="U8" s="7">
        <v>3.53</v>
      </c>
      <c r="V8" s="7"/>
      <c r="X8" s="7">
        <v>1500</v>
      </c>
      <c r="Y8" s="7">
        <v>45</v>
      </c>
      <c r="Z8" s="7">
        <v>3.9</v>
      </c>
      <c r="AB8" s="7">
        <v>1</v>
      </c>
      <c r="AC8" s="7" t="s">
        <v>748</v>
      </c>
      <c r="AD8" s="7">
        <v>4.5</v>
      </c>
      <c r="AE8" s="7">
        <v>8</v>
      </c>
      <c r="AF8" s="7" t="s">
        <v>750</v>
      </c>
    </row>
    <row r="9" spans="1:32">
      <c r="A9" s="234"/>
      <c r="B9" s="115"/>
      <c r="C9" t="s">
        <v>790</v>
      </c>
      <c r="D9" t="s">
        <v>788</v>
      </c>
      <c r="E9" s="111" t="s">
        <v>1121</v>
      </c>
      <c r="F9" s="233"/>
      <c r="L9" s="7" t="s">
        <v>707</v>
      </c>
      <c r="M9" s="7" t="s">
        <v>719</v>
      </c>
      <c r="N9" s="42">
        <v>0.6</v>
      </c>
      <c r="O9" s="42">
        <v>0.9</v>
      </c>
      <c r="Q9" s="7" t="s">
        <v>740</v>
      </c>
      <c r="R9" s="7">
        <v>10</v>
      </c>
      <c r="S9" s="7">
        <v>700</v>
      </c>
      <c r="T9" s="7">
        <v>60</v>
      </c>
      <c r="U9" s="7">
        <v>2.44</v>
      </c>
      <c r="V9" s="7"/>
      <c r="X9" s="7">
        <v>1500</v>
      </c>
      <c r="Y9" s="7">
        <v>60</v>
      </c>
      <c r="Z9" s="7">
        <v>5.2</v>
      </c>
      <c r="AB9" s="7">
        <v>1</v>
      </c>
      <c r="AC9" s="7" t="s">
        <v>749</v>
      </c>
      <c r="AD9" s="7">
        <v>4.5</v>
      </c>
      <c r="AE9" s="7">
        <v>11</v>
      </c>
      <c r="AF9" s="7" t="s">
        <v>751</v>
      </c>
    </row>
    <row r="10" spans="1:32">
      <c r="A10" s="234"/>
      <c r="B10" s="115"/>
      <c r="C10" t="s">
        <v>787</v>
      </c>
      <c r="D10" t="s">
        <v>757</v>
      </c>
      <c r="E10" s="111" t="s">
        <v>1121</v>
      </c>
      <c r="F10" s="233"/>
      <c r="L10" s="7" t="s">
        <v>708</v>
      </c>
      <c r="M10" s="7" t="s">
        <v>720</v>
      </c>
      <c r="N10" s="42">
        <v>0.6</v>
      </c>
      <c r="O10" s="42">
        <v>0.8</v>
      </c>
      <c r="Q10" s="7" t="s">
        <v>740</v>
      </c>
      <c r="R10" s="7">
        <v>12</v>
      </c>
      <c r="S10" s="7">
        <v>800</v>
      </c>
      <c r="T10" s="7">
        <v>60</v>
      </c>
      <c r="U10" s="7">
        <v>2.79</v>
      </c>
      <c r="V10" s="7" t="s">
        <v>728</v>
      </c>
      <c r="X10" s="7">
        <v>1500</v>
      </c>
      <c r="Y10" s="7">
        <v>90</v>
      </c>
      <c r="Z10" s="7">
        <v>7.8</v>
      </c>
    </row>
    <row r="11" spans="1:32" ht="16" customHeight="1">
      <c r="A11" s="234" t="s">
        <v>764</v>
      </c>
      <c r="B11" s="115" t="s">
        <v>765</v>
      </c>
      <c r="C11" t="s">
        <v>791</v>
      </c>
      <c r="D11" t="s">
        <v>766</v>
      </c>
      <c r="E11" s="78">
        <f>填表!X2</f>
        <v>0</v>
      </c>
      <c r="F11" s="233">
        <f>0.02*(E11+6)*(E12+E22-E25)</f>
        <v>41.971535999999993</v>
      </c>
      <c r="L11" s="7" t="s">
        <v>709</v>
      </c>
      <c r="M11" s="7" t="s">
        <v>721</v>
      </c>
      <c r="N11" s="42">
        <v>0.6</v>
      </c>
      <c r="O11" s="42">
        <v>0.8</v>
      </c>
      <c r="Q11" s="7" t="s">
        <v>740</v>
      </c>
      <c r="R11" s="7">
        <v>15</v>
      </c>
      <c r="S11" s="7">
        <v>1000</v>
      </c>
      <c r="T11" s="7">
        <v>60</v>
      </c>
      <c r="U11" s="7">
        <v>3.49</v>
      </c>
      <c r="V11" s="7" t="s">
        <v>729</v>
      </c>
      <c r="X11" s="7">
        <v>1500</v>
      </c>
      <c r="Y11" s="7">
        <v>105</v>
      </c>
      <c r="Z11" s="7">
        <v>9.1999999999999993</v>
      </c>
    </row>
    <row r="12" spans="1:32">
      <c r="A12" s="234"/>
      <c r="B12" s="115"/>
      <c r="C12" t="s">
        <v>792</v>
      </c>
      <c r="D12" s="85" t="s">
        <v>767</v>
      </c>
      <c r="E12" s="78">
        <f>評估分區面積與中位值年耗電量計算!N40+73*E13*E14+91.3*E15*E16+0.046*E17*E18+0.01*(E19+E20)*E21</f>
        <v>221.4</v>
      </c>
      <c r="F12" s="233"/>
      <c r="L12" s="7" t="s">
        <v>699</v>
      </c>
      <c r="M12" s="7" t="s">
        <v>165</v>
      </c>
      <c r="N12" s="42">
        <v>0.15</v>
      </c>
      <c r="O12" s="42">
        <v>0.3</v>
      </c>
      <c r="Q12" s="7" t="s">
        <v>740</v>
      </c>
      <c r="R12" s="7">
        <v>20</v>
      </c>
      <c r="S12" s="7">
        <v>1350</v>
      </c>
      <c r="T12" s="7">
        <v>60</v>
      </c>
      <c r="U12" s="7">
        <v>4.7</v>
      </c>
      <c r="V12" s="7" t="s">
        <v>730</v>
      </c>
      <c r="X12" s="7">
        <v>2000</v>
      </c>
      <c r="Y12" s="7">
        <v>30</v>
      </c>
      <c r="Z12" s="7">
        <v>3.5</v>
      </c>
    </row>
    <row r="13" spans="1:32">
      <c r="A13" s="234"/>
      <c r="B13" s="115"/>
      <c r="C13" t="s">
        <v>993</v>
      </c>
      <c r="D13" t="s">
        <v>772</v>
      </c>
      <c r="E13" s="78">
        <f>填表!X3</f>
        <v>0</v>
      </c>
      <c r="F13" s="233"/>
      <c r="L13" s="7" t="s">
        <v>698</v>
      </c>
      <c r="M13" s="7" t="s">
        <v>711</v>
      </c>
      <c r="N13" s="42">
        <v>0.2</v>
      </c>
      <c r="O13" s="42">
        <v>0.4</v>
      </c>
      <c r="Q13" s="7" t="s">
        <v>740</v>
      </c>
      <c r="R13" s="7">
        <v>24</v>
      </c>
      <c r="S13" s="7">
        <v>1600</v>
      </c>
      <c r="T13" s="7">
        <v>60</v>
      </c>
      <c r="U13" s="7">
        <v>5.58</v>
      </c>
      <c r="V13" s="7"/>
      <c r="X13" s="7">
        <v>2000</v>
      </c>
      <c r="Y13" s="7">
        <v>45</v>
      </c>
      <c r="Z13" s="7">
        <v>5.2</v>
      </c>
    </row>
    <row r="14" spans="1:32">
      <c r="A14" s="234"/>
      <c r="B14" s="115"/>
      <c r="C14" t="s">
        <v>797</v>
      </c>
      <c r="D14" t="s">
        <v>773</v>
      </c>
      <c r="E14" s="78">
        <f>填表!X4%</f>
        <v>0</v>
      </c>
      <c r="F14" s="233"/>
      <c r="L14" s="139" t="s">
        <v>991</v>
      </c>
      <c r="M14" s="139"/>
      <c r="N14" s="139"/>
      <c r="O14" s="139"/>
      <c r="Q14" s="7" t="s">
        <v>732</v>
      </c>
      <c r="R14" s="7">
        <v>12</v>
      </c>
      <c r="S14" s="7">
        <v>800</v>
      </c>
      <c r="T14" s="7">
        <v>105</v>
      </c>
      <c r="U14" s="7">
        <v>4.88</v>
      </c>
      <c r="V14" s="7"/>
      <c r="X14" s="7">
        <v>2000</v>
      </c>
      <c r="Y14" s="7">
        <v>60</v>
      </c>
      <c r="Z14" s="7">
        <v>7</v>
      </c>
    </row>
    <row r="15" spans="1:32">
      <c r="A15" s="234"/>
      <c r="B15" s="115"/>
      <c r="C15" t="s">
        <v>799</v>
      </c>
      <c r="D15" t="s">
        <v>774</v>
      </c>
      <c r="E15" s="78">
        <f>填表!X5</f>
        <v>0</v>
      </c>
      <c r="F15" s="233"/>
      <c r="L15" s="139" t="s">
        <v>990</v>
      </c>
      <c r="M15" s="139"/>
      <c r="N15" s="139"/>
      <c r="O15" s="139"/>
      <c r="Q15" s="7" t="s">
        <v>732</v>
      </c>
      <c r="R15" s="7">
        <v>15</v>
      </c>
      <c r="S15" s="7">
        <v>1000</v>
      </c>
      <c r="T15" s="7">
        <v>105</v>
      </c>
      <c r="U15" s="7">
        <v>6.1</v>
      </c>
      <c r="V15" s="7" t="s">
        <v>731</v>
      </c>
      <c r="X15" s="7">
        <v>2000</v>
      </c>
      <c r="Y15" s="7">
        <v>90</v>
      </c>
      <c r="Z15" s="7">
        <v>10.5</v>
      </c>
    </row>
    <row r="16" spans="1:32">
      <c r="A16" s="234"/>
      <c r="B16" s="115"/>
      <c r="C16" t="s">
        <v>798</v>
      </c>
      <c r="D16" t="s">
        <v>775</v>
      </c>
      <c r="E16" s="78">
        <f>填表!X6%</f>
        <v>0</v>
      </c>
      <c r="F16" s="233"/>
      <c r="Q16" s="7" t="s">
        <v>732</v>
      </c>
      <c r="R16" s="7">
        <v>17</v>
      </c>
      <c r="S16" s="7">
        <v>1150</v>
      </c>
      <c r="T16" s="7">
        <v>105</v>
      </c>
      <c r="U16" s="7">
        <v>7.02</v>
      </c>
      <c r="V16" s="7"/>
      <c r="X16" s="7">
        <v>2000</v>
      </c>
      <c r="Y16" s="7">
        <v>105</v>
      </c>
      <c r="Z16" s="7">
        <v>12.2</v>
      </c>
    </row>
    <row r="17" spans="1:26">
      <c r="A17" s="234"/>
      <c r="B17" s="115"/>
      <c r="C17" t="s">
        <v>800</v>
      </c>
      <c r="D17" t="s">
        <v>776</v>
      </c>
      <c r="E17" s="78">
        <f>填表!X7</f>
        <v>0</v>
      </c>
      <c r="F17" s="233"/>
      <c r="Q17" s="7" t="s">
        <v>732</v>
      </c>
      <c r="R17" s="7">
        <v>20</v>
      </c>
      <c r="S17" s="7">
        <v>1350</v>
      </c>
      <c r="T17" s="7">
        <v>105</v>
      </c>
      <c r="U17" s="7">
        <v>8.24</v>
      </c>
      <c r="V17" s="7" t="s">
        <v>733</v>
      </c>
      <c r="X17" s="7">
        <v>2500</v>
      </c>
      <c r="Y17" s="7">
        <v>30</v>
      </c>
      <c r="Z17" s="7">
        <v>4.4000000000000004</v>
      </c>
    </row>
    <row r="18" spans="1:26">
      <c r="A18" s="234"/>
      <c r="B18" s="115"/>
      <c r="C18" t="s">
        <v>794</v>
      </c>
      <c r="D18" t="s">
        <v>757</v>
      </c>
      <c r="E18" s="78">
        <f>填表!X8</f>
        <v>0</v>
      </c>
      <c r="F18" s="233"/>
      <c r="Q18" s="7" t="s">
        <v>732</v>
      </c>
      <c r="R18" s="7">
        <v>24</v>
      </c>
      <c r="S18" s="7">
        <v>1600</v>
      </c>
      <c r="T18" s="7">
        <v>105</v>
      </c>
      <c r="U18" s="7">
        <v>9.77</v>
      </c>
      <c r="V18" s="7"/>
      <c r="X18" s="7">
        <v>2500</v>
      </c>
      <c r="Y18" s="7">
        <v>45</v>
      </c>
      <c r="Z18" s="7">
        <v>6.5</v>
      </c>
    </row>
    <row r="19" spans="1:26">
      <c r="A19" s="234"/>
      <c r="B19" s="115"/>
      <c r="C19" t="s">
        <v>796</v>
      </c>
      <c r="D19" t="s">
        <v>770</v>
      </c>
      <c r="E19" s="78">
        <f>填表!X13</f>
        <v>0</v>
      </c>
      <c r="F19" s="233"/>
      <c r="Q19" s="7" t="s">
        <v>737</v>
      </c>
      <c r="R19" s="7">
        <v>13</v>
      </c>
      <c r="S19" s="7">
        <v>900</v>
      </c>
      <c r="T19" s="7">
        <v>120</v>
      </c>
      <c r="U19" s="7">
        <v>6.28</v>
      </c>
      <c r="V19" s="7"/>
      <c r="X19" s="7">
        <v>2500</v>
      </c>
      <c r="Y19" s="7">
        <v>60</v>
      </c>
      <c r="Z19" s="7">
        <v>8.6999999999999993</v>
      </c>
    </row>
    <row r="20" spans="1:26">
      <c r="A20" s="234"/>
      <c r="B20" s="115"/>
      <c r="C20" t="s">
        <v>795</v>
      </c>
      <c r="D20" t="s">
        <v>771</v>
      </c>
      <c r="E20" s="78">
        <f>填表!X14</f>
        <v>0</v>
      </c>
      <c r="F20" s="233"/>
      <c r="Q20" s="7" t="s">
        <v>737</v>
      </c>
      <c r="R20" s="7">
        <v>15</v>
      </c>
      <c r="S20" s="7">
        <v>1000</v>
      </c>
      <c r="T20" s="7">
        <v>120</v>
      </c>
      <c r="U20" s="7">
        <v>6.98</v>
      </c>
      <c r="V20" s="7" t="s">
        <v>734</v>
      </c>
      <c r="X20" s="7">
        <v>2500</v>
      </c>
      <c r="Y20" s="7">
        <v>90</v>
      </c>
      <c r="Z20" s="7">
        <v>13.1</v>
      </c>
    </row>
    <row r="21" spans="1:26">
      <c r="A21" s="234"/>
      <c r="B21" s="115"/>
      <c r="C21" t="s">
        <v>794</v>
      </c>
      <c r="D21" t="s">
        <v>757</v>
      </c>
      <c r="E21" s="78">
        <f>填表!X15</f>
        <v>0</v>
      </c>
      <c r="F21" s="233"/>
      <c r="Q21" s="7" t="s">
        <v>737</v>
      </c>
      <c r="R21" s="7">
        <v>17</v>
      </c>
      <c r="S21" s="7">
        <v>1150</v>
      </c>
      <c r="T21" s="7">
        <v>120</v>
      </c>
      <c r="U21" s="7">
        <v>8.02</v>
      </c>
      <c r="V21" s="7"/>
      <c r="X21" s="7">
        <v>2500</v>
      </c>
      <c r="Y21" s="7">
        <v>105</v>
      </c>
      <c r="Z21" s="7">
        <v>15.3</v>
      </c>
    </row>
    <row r="22" spans="1:26">
      <c r="A22" s="234"/>
      <c r="B22" s="115" t="s">
        <v>805</v>
      </c>
      <c r="C22" t="s">
        <v>801</v>
      </c>
      <c r="D22" s="85" t="s">
        <v>768</v>
      </c>
      <c r="E22" s="78">
        <f>0.00036*SUMPRODUCT(評估分區面積與中位值年耗電量計算!B28:B39,評估分區面積與中位值年耗電量計算!L28:L39,評估分區面積與中位值年耗電量計算!P28:P39)+0.32*SUMPRODUCT(評估分區面積與中位值年耗電量計算!P28:P39,評估分區面積與中位值年耗電量計算!B28:B39)</f>
        <v>128.36279999999999</v>
      </c>
      <c r="F22" s="233"/>
      <c r="Q22" s="7" t="s">
        <v>737</v>
      </c>
      <c r="R22" s="7">
        <v>20</v>
      </c>
      <c r="S22" s="7">
        <v>1350</v>
      </c>
      <c r="T22" s="7">
        <v>120</v>
      </c>
      <c r="U22" s="7">
        <v>9.42</v>
      </c>
      <c r="V22" s="7" t="s">
        <v>733</v>
      </c>
      <c r="X22" s="7">
        <v>3000</v>
      </c>
      <c r="Y22" s="7">
        <v>30</v>
      </c>
      <c r="Z22" s="7">
        <v>5.2</v>
      </c>
    </row>
    <row r="23" spans="1:26">
      <c r="A23" s="234"/>
      <c r="B23" s="115"/>
      <c r="C23" t="s">
        <v>802</v>
      </c>
      <c r="D23" t="s">
        <v>777</v>
      </c>
      <c r="E23" s="111" t="s">
        <v>1121</v>
      </c>
      <c r="F23" s="233"/>
      <c r="Q23" s="7" t="s">
        <v>737</v>
      </c>
      <c r="R23" s="7">
        <v>24</v>
      </c>
      <c r="S23" s="7">
        <v>1600</v>
      </c>
      <c r="T23" s="7">
        <v>120</v>
      </c>
      <c r="U23" s="7">
        <v>11.16</v>
      </c>
      <c r="V23" s="7"/>
      <c r="X23" s="7">
        <v>3000</v>
      </c>
      <c r="Y23" s="7">
        <v>45</v>
      </c>
      <c r="Z23" s="7">
        <v>7.8</v>
      </c>
    </row>
    <row r="24" spans="1:26">
      <c r="A24" s="234"/>
      <c r="B24" s="115"/>
      <c r="C24" t="s">
        <v>803</v>
      </c>
      <c r="D24" t="s">
        <v>778</v>
      </c>
      <c r="E24" s="78">
        <f>SUMIF(評估分區面積與中位值年耗電量計算!P28:P39,1,評估分區面積與中位值年耗電量計算!B28:B39)</f>
        <v>123</v>
      </c>
      <c r="F24" s="233"/>
      <c r="Q24" s="7" t="s">
        <v>738</v>
      </c>
      <c r="R24" s="7">
        <v>15</v>
      </c>
      <c r="S24" s="7">
        <v>1000</v>
      </c>
      <c r="T24" s="7">
        <v>150</v>
      </c>
      <c r="U24" s="7">
        <v>8.7200000000000006</v>
      </c>
      <c r="V24" s="7" t="s">
        <v>739</v>
      </c>
      <c r="X24" s="7">
        <v>3000</v>
      </c>
      <c r="Y24" s="7">
        <v>60</v>
      </c>
      <c r="Z24" s="7">
        <v>10.5</v>
      </c>
    </row>
    <row r="25" spans="1:26">
      <c r="A25" s="234"/>
      <c r="B25" s="2" t="s">
        <v>804</v>
      </c>
      <c r="C25" t="s">
        <v>793</v>
      </c>
      <c r="D25" s="85" t="s">
        <v>769</v>
      </c>
      <c r="E25" s="78">
        <f>填表!X19</f>
        <v>0</v>
      </c>
      <c r="F25" s="233"/>
      <c r="Q25" s="7" t="s">
        <v>738</v>
      </c>
      <c r="R25" s="7">
        <v>20</v>
      </c>
      <c r="S25" s="7">
        <v>1350</v>
      </c>
      <c r="T25" s="7">
        <v>150</v>
      </c>
      <c r="U25" s="7">
        <v>11.77</v>
      </c>
      <c r="V25" s="7" t="s">
        <v>739</v>
      </c>
      <c r="X25" s="7">
        <v>3000</v>
      </c>
      <c r="Y25" s="7">
        <v>90</v>
      </c>
      <c r="Z25" s="7">
        <v>15.7</v>
      </c>
    </row>
    <row r="26" spans="1:26" ht="16" customHeight="1">
      <c r="A26" s="234" t="s">
        <v>806</v>
      </c>
      <c r="B26" s="115" t="s">
        <v>809</v>
      </c>
      <c r="C26" t="s">
        <v>820</v>
      </c>
      <c r="D26" s="85" t="s">
        <v>807</v>
      </c>
      <c r="E26" s="78">
        <f>10.2*E13*E14+12.8*E15*E16+0.023*E17*E18+E28*E29*IF(填表!X9="一餐服務",0.00284,IF(填表!X9="兩餐服務",0.00568,IF(填表!X9="三餐服務",0.00852,IF(填表!X9="24小時服務",0.0284,0))))</f>
        <v>0</v>
      </c>
      <c r="F26" s="233">
        <f>E27*E26+E30*E32</f>
        <v>0</v>
      </c>
      <c r="Q26" s="7" t="s">
        <v>738</v>
      </c>
      <c r="R26" s="7">
        <v>24</v>
      </c>
      <c r="S26" s="7">
        <v>1600</v>
      </c>
      <c r="T26" s="7">
        <v>150</v>
      </c>
      <c r="U26" s="7">
        <v>13.95</v>
      </c>
      <c r="V26" s="7" t="s">
        <v>739</v>
      </c>
      <c r="X26" s="7">
        <v>3000</v>
      </c>
      <c r="Y26" s="7">
        <v>105</v>
      </c>
      <c r="Z26" s="7">
        <v>18.3</v>
      </c>
    </row>
    <row r="27" spans="1:26">
      <c r="A27" s="234"/>
      <c r="B27" s="115"/>
      <c r="C27" t="s">
        <v>817</v>
      </c>
      <c r="D27" t="s">
        <v>226</v>
      </c>
      <c r="E27" s="261">
        <f>IF(填表!X12="電熱水器",45.1,IF(填表!X12="熱泵",13.2,45.1))</f>
        <v>45.1</v>
      </c>
      <c r="F27" s="233"/>
      <c r="Q27" s="7" t="s">
        <v>738</v>
      </c>
      <c r="R27" s="7">
        <v>15</v>
      </c>
      <c r="S27" s="7">
        <v>1000</v>
      </c>
      <c r="T27" s="7">
        <v>210</v>
      </c>
      <c r="U27" s="7">
        <v>12.21</v>
      </c>
      <c r="V27" s="7" t="s">
        <v>739</v>
      </c>
    </row>
    <row r="28" spans="1:26">
      <c r="A28" s="234"/>
      <c r="B28" s="115"/>
      <c r="C28" t="s">
        <v>818</v>
      </c>
      <c r="D28" t="s">
        <v>814</v>
      </c>
      <c r="E28" s="78">
        <f>填表!X10</f>
        <v>0</v>
      </c>
      <c r="F28" s="233"/>
      <c r="Q28" s="7" t="s">
        <v>738</v>
      </c>
      <c r="R28" s="7">
        <v>20</v>
      </c>
      <c r="S28" s="7">
        <v>1350</v>
      </c>
      <c r="T28" s="7">
        <v>210</v>
      </c>
      <c r="U28" s="7">
        <v>16.48</v>
      </c>
      <c r="V28" s="7" t="s">
        <v>739</v>
      </c>
    </row>
    <row r="29" spans="1:26">
      <c r="A29" s="234"/>
      <c r="B29" s="115"/>
      <c r="C29" t="s">
        <v>819</v>
      </c>
      <c r="D29" t="s">
        <v>815</v>
      </c>
      <c r="E29" s="78">
        <f>填表!X11</f>
        <v>0</v>
      </c>
      <c r="F29" s="233"/>
      <c r="Q29" s="7" t="s">
        <v>738</v>
      </c>
      <c r="R29" s="7">
        <v>24</v>
      </c>
      <c r="S29" s="7">
        <v>1600</v>
      </c>
      <c r="T29" s="7">
        <v>210</v>
      </c>
      <c r="U29" s="7">
        <v>19.53</v>
      </c>
      <c r="V29" s="7" t="s">
        <v>739</v>
      </c>
    </row>
    <row r="30" spans="1:26">
      <c r="A30" s="234"/>
      <c r="B30" s="115" t="s">
        <v>810</v>
      </c>
      <c r="C30" t="s">
        <v>812</v>
      </c>
      <c r="D30" s="85" t="s">
        <v>808</v>
      </c>
      <c r="E30" s="78">
        <f>IF(填表!X16="是",0.16*(E19+E20)*E31,0)</f>
        <v>0</v>
      </c>
      <c r="F30" s="233"/>
      <c r="Q30" s="7" t="s">
        <v>738</v>
      </c>
      <c r="R30" s="7">
        <v>20</v>
      </c>
      <c r="S30" s="7">
        <v>1350</v>
      </c>
      <c r="T30" s="7">
        <v>300</v>
      </c>
      <c r="U30" s="7">
        <v>23.55</v>
      </c>
      <c r="V30" s="7" t="s">
        <v>739</v>
      </c>
    </row>
    <row r="31" spans="1:26">
      <c r="A31" s="234"/>
      <c r="B31" s="115"/>
      <c r="C31" t="s">
        <v>813</v>
      </c>
      <c r="D31" t="s">
        <v>811</v>
      </c>
      <c r="E31" s="111">
        <f>IFERROR(MID(填表!X17,FIND("(",填表!X17)+1,3),0)</f>
        <v>0</v>
      </c>
      <c r="F31" s="233"/>
      <c r="Q31" s="7" t="s">
        <v>738</v>
      </c>
      <c r="R31" s="7">
        <v>24</v>
      </c>
      <c r="S31" s="7">
        <v>1600</v>
      </c>
      <c r="T31" s="7">
        <v>300</v>
      </c>
      <c r="U31" s="7">
        <v>27.91</v>
      </c>
      <c r="V31" s="7" t="s">
        <v>739</v>
      </c>
    </row>
    <row r="32" spans="1:26">
      <c r="A32" s="234"/>
      <c r="B32" s="115"/>
      <c r="C32" t="s">
        <v>816</v>
      </c>
      <c r="D32" t="s">
        <v>227</v>
      </c>
      <c r="E32" s="261">
        <f>IF(填表!X18="電熱水器",45.1,IF(填表!X18="熱泵",13.2,0))</f>
        <v>0</v>
      </c>
      <c r="F32" s="233"/>
      <c r="Q32" s="7" t="s">
        <v>738</v>
      </c>
      <c r="R32" s="7">
        <v>15</v>
      </c>
      <c r="S32" s="7">
        <v>1000</v>
      </c>
      <c r="T32" s="7">
        <v>420</v>
      </c>
      <c r="U32" s="7">
        <v>24.42</v>
      </c>
      <c r="V32" s="7" t="s">
        <v>739</v>
      </c>
    </row>
    <row r="33" spans="1:22">
      <c r="A33" s="1"/>
      <c r="Q33" s="7" t="s">
        <v>738</v>
      </c>
      <c r="R33" s="7">
        <v>20</v>
      </c>
      <c r="S33" s="7">
        <v>1350</v>
      </c>
      <c r="T33" s="7">
        <v>420</v>
      </c>
      <c r="U33" s="7">
        <v>32.97</v>
      </c>
      <c r="V33" s="7" t="s">
        <v>739</v>
      </c>
    </row>
    <row r="34" spans="1:22">
      <c r="Q34" s="7" t="s">
        <v>738</v>
      </c>
      <c r="R34" s="7">
        <v>24</v>
      </c>
      <c r="S34" s="7">
        <v>1600</v>
      </c>
      <c r="T34" s="7">
        <v>420</v>
      </c>
      <c r="U34" s="7">
        <v>39.07</v>
      </c>
      <c r="V34" s="7" t="s">
        <v>739</v>
      </c>
    </row>
  </sheetData>
  <mergeCells count="14">
    <mergeCell ref="F1:F10"/>
    <mergeCell ref="A1:A10"/>
    <mergeCell ref="B1:B5"/>
    <mergeCell ref="B6:B10"/>
    <mergeCell ref="B22:B24"/>
    <mergeCell ref="A11:A25"/>
    <mergeCell ref="B26:B29"/>
    <mergeCell ref="F26:F32"/>
    <mergeCell ref="B30:B32"/>
    <mergeCell ref="A26:A32"/>
    <mergeCell ref="L14:O14"/>
    <mergeCell ref="L15:O15"/>
    <mergeCell ref="B11:B21"/>
    <mergeCell ref="F11:F25"/>
  </mergeCells>
  <phoneticPr fontId="7" type="noConversion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DBB25-3BB9-B742-A0EF-18256DBE8367}">
  <dimension ref="B1:C11"/>
  <sheetViews>
    <sheetView workbookViewId="0">
      <selection activeCell="C19" sqref="C19"/>
    </sheetView>
  </sheetViews>
  <sheetFormatPr baseColWidth="10" defaultRowHeight="16"/>
  <cols>
    <col min="2" max="2" width="8.28515625" customWidth="1"/>
    <col min="3" max="3" width="28.85546875" customWidth="1"/>
  </cols>
  <sheetData>
    <row r="1" spans="2:3">
      <c r="B1" s="86" t="s">
        <v>1175</v>
      </c>
      <c r="C1" s="86" t="s">
        <v>1176</v>
      </c>
    </row>
    <row r="2" spans="2:3">
      <c r="B2" s="34" t="s">
        <v>211</v>
      </c>
      <c r="C2" s="36">
        <f>0.52+0.45*填表!AE2/273</f>
        <v>0.68483516483516482</v>
      </c>
    </row>
    <row r="3" spans="2:3">
      <c r="B3" s="34" t="s">
        <v>212</v>
      </c>
      <c r="C3" s="36">
        <f>0.52+0.45*填表!AE3/273</f>
        <v>0.68483516483516482</v>
      </c>
    </row>
    <row r="4" spans="2:3">
      <c r="B4" s="34" t="s">
        <v>213</v>
      </c>
      <c r="C4" s="36">
        <f>0.52+0.45*填表!AE4/273</f>
        <v>0.68483516483516482</v>
      </c>
    </row>
    <row r="5" spans="2:3">
      <c r="B5" s="34" t="s">
        <v>207</v>
      </c>
      <c r="C5" s="36">
        <f>0.52+0.45*填表!AE5/273</f>
        <v>0.68483516483516482</v>
      </c>
    </row>
    <row r="6" spans="2:3">
      <c r="B6" s="34" t="s">
        <v>210</v>
      </c>
      <c r="C6" s="36">
        <f>0.17+0.83*填表!AE3/208</f>
        <v>0.5690384615384616</v>
      </c>
    </row>
    <row r="7" spans="2:3">
      <c r="B7" s="34" t="s">
        <v>221</v>
      </c>
      <c r="C7" s="36">
        <f>0.21+0.77*填表!AE4/208</f>
        <v>0.58019230769230767</v>
      </c>
    </row>
    <row r="8" spans="2:3">
      <c r="B8" s="34" t="s">
        <v>224</v>
      </c>
      <c r="C8" s="36">
        <f>0.39+0.6*填表!AE5/156</f>
        <v>0.77461538461538471</v>
      </c>
    </row>
    <row r="9" spans="2:3">
      <c r="B9" s="34" t="s">
        <v>225</v>
      </c>
      <c r="C9" s="36">
        <f>0.31+0.67*填表!AE6/156</f>
        <v>0.73948717948717946</v>
      </c>
    </row>
    <row r="10" spans="2:3">
      <c r="B10" s="34" t="s">
        <v>226</v>
      </c>
      <c r="C10" s="36">
        <f>0.58+0.571*填表!X4%</f>
        <v>0.57999999999999996</v>
      </c>
    </row>
    <row r="11" spans="2:3">
      <c r="B11" s="34" t="s">
        <v>299</v>
      </c>
      <c r="C11" s="36">
        <f>0.25+0.94*填表!X6%</f>
        <v>0.25</v>
      </c>
    </row>
  </sheetData>
  <phoneticPr fontId="7" type="noConversion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EA02-883D-404E-BE89-622B36663D69}">
  <sheetPr>
    <tabColor theme="8" tint="0.79998168889431442"/>
  </sheetPr>
  <dimension ref="A1:C13"/>
  <sheetViews>
    <sheetView workbookViewId="0">
      <selection activeCell="C19" sqref="C19"/>
    </sheetView>
  </sheetViews>
  <sheetFormatPr baseColWidth="10" defaultRowHeight="16"/>
  <cols>
    <col min="1" max="1" width="7.28515625" style="2" bestFit="1" customWidth="1"/>
    <col min="2" max="2" width="8.5703125" bestFit="1" customWidth="1"/>
    <col min="3" max="3" width="51.5703125" bestFit="1" customWidth="1"/>
  </cols>
  <sheetData>
    <row r="1" spans="1:3">
      <c r="A1" s="3" t="s">
        <v>695</v>
      </c>
      <c r="B1" s="79" t="s">
        <v>696</v>
      </c>
      <c r="C1" s="79" t="s">
        <v>697</v>
      </c>
    </row>
    <row r="2" spans="1:3">
      <c r="A2" s="2" t="s">
        <v>700</v>
      </c>
      <c r="B2" t="s">
        <v>673</v>
      </c>
      <c r="C2" t="s">
        <v>674</v>
      </c>
    </row>
    <row r="3" spans="1:3">
      <c r="A3" s="2" t="s">
        <v>701</v>
      </c>
      <c r="B3" t="s">
        <v>675</v>
      </c>
      <c r="C3" t="s">
        <v>676</v>
      </c>
    </row>
    <row r="4" spans="1:3">
      <c r="A4" s="2" t="s">
        <v>702</v>
      </c>
      <c r="B4" t="s">
        <v>677</v>
      </c>
      <c r="C4" t="s">
        <v>678</v>
      </c>
    </row>
    <row r="5" spans="1:3">
      <c r="A5" s="2" t="s">
        <v>703</v>
      </c>
      <c r="B5" t="s">
        <v>679</v>
      </c>
      <c r="C5" t="s">
        <v>671</v>
      </c>
    </row>
    <row r="6" spans="1:3">
      <c r="A6" s="2" t="s">
        <v>704</v>
      </c>
      <c r="B6" t="s">
        <v>680</v>
      </c>
      <c r="C6" t="s">
        <v>681</v>
      </c>
    </row>
    <row r="7" spans="1:3">
      <c r="A7" s="2" t="s">
        <v>705</v>
      </c>
      <c r="B7" t="s">
        <v>682</v>
      </c>
      <c r="C7" t="s">
        <v>683</v>
      </c>
    </row>
    <row r="8" spans="1:3">
      <c r="A8" s="2" t="s">
        <v>706</v>
      </c>
      <c r="B8" t="s">
        <v>684</v>
      </c>
      <c r="C8" t="s">
        <v>685</v>
      </c>
    </row>
    <row r="9" spans="1:3">
      <c r="A9" s="2" t="s">
        <v>707</v>
      </c>
      <c r="B9" t="s">
        <v>686</v>
      </c>
      <c r="C9" t="s">
        <v>687</v>
      </c>
    </row>
    <row r="10" spans="1:3">
      <c r="A10" s="2" t="s">
        <v>708</v>
      </c>
      <c r="B10" t="s">
        <v>688</v>
      </c>
      <c r="C10" t="s">
        <v>689</v>
      </c>
    </row>
    <row r="11" spans="1:3">
      <c r="A11" s="2" t="s">
        <v>709</v>
      </c>
      <c r="B11" t="s">
        <v>690</v>
      </c>
      <c r="C11" t="s">
        <v>691</v>
      </c>
    </row>
    <row r="12" spans="1:3">
      <c r="A12" s="2" t="s">
        <v>699</v>
      </c>
      <c r="B12" t="s">
        <v>692</v>
      </c>
      <c r="C12" t="s">
        <v>672</v>
      </c>
    </row>
    <row r="13" spans="1:3">
      <c r="A13" s="2" t="s">
        <v>698</v>
      </c>
      <c r="B13" t="s">
        <v>693</v>
      </c>
      <c r="C13" t="s">
        <v>694</v>
      </c>
    </row>
  </sheetData>
  <autoFilter ref="A1:C13" xr:uid="{6B2DEA02-883D-404E-BE89-622B36663D69}"/>
  <phoneticPr fontId="7" type="noConversion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9AC0-1AC9-204E-B0DA-A4B32F2CA991}">
  <sheetPr>
    <tabColor theme="8" tint="0.79998168889431442"/>
  </sheetPr>
  <dimension ref="A1:E144"/>
  <sheetViews>
    <sheetView topLeftCell="A96" zoomScale="86" zoomScaleNormal="60" workbookViewId="0">
      <selection activeCell="A4" sqref="A4"/>
    </sheetView>
  </sheetViews>
  <sheetFormatPr baseColWidth="10" defaultRowHeight="16"/>
  <cols>
    <col min="1" max="1" width="11.42578125" customWidth="1"/>
    <col min="2" max="3" width="6.85546875" bestFit="1" customWidth="1"/>
    <col min="4" max="4" width="8.5703125" bestFit="1" customWidth="1"/>
    <col min="5" max="5" width="6" bestFit="1" customWidth="1"/>
    <col min="6" max="6" width="12.42578125" customWidth="1"/>
    <col min="7" max="7" width="12" customWidth="1"/>
    <col min="8" max="8" width="13.28515625" customWidth="1"/>
  </cols>
  <sheetData>
    <row r="1" spans="1:5">
      <c r="A1" s="79" t="s">
        <v>842</v>
      </c>
      <c r="B1" s="3" t="s">
        <v>512</v>
      </c>
      <c r="C1" s="3" t="s">
        <v>511</v>
      </c>
      <c r="D1" s="3" t="s">
        <v>522</v>
      </c>
      <c r="E1" s="3" t="s">
        <v>523</v>
      </c>
    </row>
    <row r="2" spans="1:5">
      <c r="A2" t="s">
        <v>984</v>
      </c>
      <c r="B2" s="2" t="s">
        <v>664</v>
      </c>
      <c r="C2" s="2" t="s">
        <v>665</v>
      </c>
      <c r="D2" s="2" t="s">
        <v>584</v>
      </c>
      <c r="E2" s="2">
        <v>0.8</v>
      </c>
    </row>
    <row r="3" spans="1:5">
      <c r="A3" t="s">
        <v>959</v>
      </c>
      <c r="B3" s="2" t="str">
        <f>B2</f>
        <v>澎湖縣</v>
      </c>
      <c r="C3" s="2" t="s">
        <v>638</v>
      </c>
      <c r="D3" s="2" t="s">
        <v>584</v>
      </c>
      <c r="E3" s="2">
        <v>0.8</v>
      </c>
    </row>
    <row r="4" spans="1:5">
      <c r="A4" t="s">
        <v>955</v>
      </c>
      <c r="B4" s="2" t="s">
        <v>535</v>
      </c>
      <c r="C4" s="2" t="s">
        <v>635</v>
      </c>
      <c r="D4" s="2" t="s">
        <v>584</v>
      </c>
      <c r="E4" s="2">
        <v>0.8</v>
      </c>
    </row>
    <row r="5" spans="1:5">
      <c r="A5" t="s">
        <v>905</v>
      </c>
      <c r="B5" s="2" t="str">
        <f>B4</f>
        <v>臺南市</v>
      </c>
      <c r="C5" s="2" t="s">
        <v>539</v>
      </c>
      <c r="D5" s="2" t="s">
        <v>583</v>
      </c>
      <c r="E5" s="2">
        <v>0.95</v>
      </c>
    </row>
    <row r="6" spans="1:5">
      <c r="A6" t="s">
        <v>864</v>
      </c>
      <c r="B6" s="2" t="s">
        <v>535</v>
      </c>
      <c r="C6" s="2" t="s">
        <v>540</v>
      </c>
      <c r="D6" s="2" t="s">
        <v>521</v>
      </c>
      <c r="E6" s="2">
        <v>1</v>
      </c>
    </row>
    <row r="7" spans="1:5">
      <c r="A7" t="s">
        <v>957</v>
      </c>
      <c r="B7" s="2" t="str">
        <f>B6</f>
        <v>臺南市</v>
      </c>
      <c r="C7" s="2" t="s">
        <v>596</v>
      </c>
      <c r="D7" s="2" t="s">
        <v>584</v>
      </c>
      <c r="E7" s="2">
        <v>0.8</v>
      </c>
    </row>
    <row r="8" spans="1:5">
      <c r="A8" t="s">
        <v>956</v>
      </c>
      <c r="B8" s="2" t="str">
        <f>B7</f>
        <v>臺南市</v>
      </c>
      <c r="C8" s="2" t="s">
        <v>636</v>
      </c>
      <c r="D8" s="2" t="s">
        <v>584</v>
      </c>
      <c r="E8" s="2">
        <v>0.8</v>
      </c>
    </row>
    <row r="9" spans="1:5">
      <c r="A9" t="s">
        <v>903</v>
      </c>
      <c r="B9" s="2" t="s">
        <v>535</v>
      </c>
      <c r="C9" s="2" t="s">
        <v>575</v>
      </c>
      <c r="D9" s="2" t="s">
        <v>583</v>
      </c>
      <c r="E9" s="2">
        <v>0.95</v>
      </c>
    </row>
    <row r="10" spans="1:5">
      <c r="A10" t="s">
        <v>904</v>
      </c>
      <c r="B10" s="2" t="str">
        <f>B9</f>
        <v>臺南市</v>
      </c>
      <c r="C10" s="2" t="s">
        <v>576</v>
      </c>
      <c r="D10" s="2" t="s">
        <v>583</v>
      </c>
      <c r="E10" s="2">
        <v>0.95</v>
      </c>
    </row>
    <row r="11" spans="1:5">
      <c r="A11" t="s">
        <v>865</v>
      </c>
      <c r="B11" s="2" t="str">
        <f>B10</f>
        <v>臺南市</v>
      </c>
      <c r="C11" s="2" t="s">
        <v>537</v>
      </c>
      <c r="D11" s="2" t="s">
        <v>521</v>
      </c>
      <c r="E11" s="2">
        <v>1</v>
      </c>
    </row>
    <row r="12" spans="1:5">
      <c r="A12" t="s">
        <v>958</v>
      </c>
      <c r="B12" s="2" t="str">
        <f>B11</f>
        <v>臺南市</v>
      </c>
      <c r="C12" s="2" t="s">
        <v>637</v>
      </c>
      <c r="D12" s="2" t="s">
        <v>584</v>
      </c>
      <c r="E12" s="2">
        <v>0.8</v>
      </c>
    </row>
    <row r="13" spans="1:5">
      <c r="A13" t="s">
        <v>866</v>
      </c>
      <c r="B13" s="2" t="str">
        <f>B12</f>
        <v>臺南市</v>
      </c>
      <c r="C13" s="2" t="s">
        <v>541</v>
      </c>
      <c r="D13" s="2" t="s">
        <v>521</v>
      </c>
      <c r="E13" s="2">
        <v>1</v>
      </c>
    </row>
    <row r="14" spans="1:5">
      <c r="A14" t="s">
        <v>846</v>
      </c>
      <c r="B14" s="2" t="str">
        <f>B13</f>
        <v>臺南市</v>
      </c>
      <c r="C14" s="2" t="s">
        <v>516</v>
      </c>
      <c r="D14" s="2" t="s">
        <v>521</v>
      </c>
      <c r="E14" s="2">
        <v>1</v>
      </c>
    </row>
    <row r="15" spans="1:5">
      <c r="A15" t="s">
        <v>880</v>
      </c>
      <c r="B15" s="2" t="s">
        <v>666</v>
      </c>
      <c r="C15" s="2" t="s">
        <v>667</v>
      </c>
      <c r="D15" s="2" t="s">
        <v>583</v>
      </c>
      <c r="E15" s="2">
        <v>0.95</v>
      </c>
    </row>
    <row r="16" spans="1:5">
      <c r="A16" t="s">
        <v>848</v>
      </c>
      <c r="B16" s="2" t="str">
        <f t="shared" ref="B16:B21" si="0">B15</f>
        <v>臺北市</v>
      </c>
      <c r="C16" s="2" t="s">
        <v>518</v>
      </c>
      <c r="D16" s="2" t="s">
        <v>521</v>
      </c>
      <c r="E16" s="2">
        <v>1</v>
      </c>
    </row>
    <row r="17" spans="1:5">
      <c r="A17" t="s">
        <v>845</v>
      </c>
      <c r="B17" s="2" t="str">
        <f t="shared" si="0"/>
        <v>臺北市</v>
      </c>
      <c r="C17" s="2" t="s">
        <v>515</v>
      </c>
      <c r="D17" s="2" t="s">
        <v>521</v>
      </c>
      <c r="E17" s="2">
        <v>1</v>
      </c>
    </row>
    <row r="18" spans="1:5">
      <c r="A18" t="s">
        <v>882</v>
      </c>
      <c r="B18" s="2" t="str">
        <f t="shared" si="0"/>
        <v>臺北市</v>
      </c>
      <c r="C18" s="2" t="s">
        <v>669</v>
      </c>
      <c r="D18" s="2" t="s">
        <v>583</v>
      </c>
      <c r="E18" s="2">
        <v>0.95</v>
      </c>
    </row>
    <row r="19" spans="1:5">
      <c r="A19" t="s">
        <v>850</v>
      </c>
      <c r="B19" s="2" t="str">
        <f t="shared" si="0"/>
        <v>臺北市</v>
      </c>
      <c r="C19" s="2" t="s">
        <v>520</v>
      </c>
      <c r="D19" s="2" t="s">
        <v>521</v>
      </c>
      <c r="E19" s="2">
        <v>1</v>
      </c>
    </row>
    <row r="20" spans="1:5">
      <c r="A20" t="s">
        <v>849</v>
      </c>
      <c r="B20" s="2" t="str">
        <f t="shared" si="0"/>
        <v>臺北市</v>
      </c>
      <c r="C20" s="2" t="s">
        <v>519</v>
      </c>
      <c r="D20" s="2" t="s">
        <v>521</v>
      </c>
      <c r="E20" s="2">
        <v>1</v>
      </c>
    </row>
    <row r="21" spans="1:5">
      <c r="A21" t="s">
        <v>847</v>
      </c>
      <c r="B21" s="2" t="str">
        <f t="shared" si="0"/>
        <v>臺北市</v>
      </c>
      <c r="C21" s="2" t="s">
        <v>517</v>
      </c>
      <c r="D21" s="2" t="s">
        <v>521</v>
      </c>
      <c r="E21" s="2">
        <v>1</v>
      </c>
    </row>
    <row r="22" spans="1:5">
      <c r="A22" t="s">
        <v>843</v>
      </c>
      <c r="B22" s="2" t="s">
        <v>666</v>
      </c>
      <c r="C22" s="2" t="s">
        <v>513</v>
      </c>
      <c r="D22" s="2" t="s">
        <v>521</v>
      </c>
      <c r="E22" s="2">
        <v>1</v>
      </c>
    </row>
    <row r="23" spans="1:5">
      <c r="A23" t="s">
        <v>844</v>
      </c>
      <c r="B23" s="2" t="str">
        <f t="shared" ref="B23:B34" si="1">B22</f>
        <v>臺北市</v>
      </c>
      <c r="C23" s="2" t="s">
        <v>514</v>
      </c>
      <c r="D23" s="2" t="s">
        <v>521</v>
      </c>
      <c r="E23" s="2">
        <v>1</v>
      </c>
    </row>
    <row r="24" spans="1:5">
      <c r="A24" t="s">
        <v>881</v>
      </c>
      <c r="B24" s="2" t="str">
        <f t="shared" si="1"/>
        <v>臺北市</v>
      </c>
      <c r="C24" s="2" t="s">
        <v>668</v>
      </c>
      <c r="D24" s="2" t="s">
        <v>583</v>
      </c>
      <c r="E24" s="2">
        <v>0.95</v>
      </c>
    </row>
    <row r="25" spans="1:5">
      <c r="A25" t="s">
        <v>900</v>
      </c>
      <c r="B25" s="2" t="str">
        <f t="shared" si="1"/>
        <v>臺北市</v>
      </c>
      <c r="C25" s="2" t="s">
        <v>572</v>
      </c>
      <c r="D25" s="2" t="s">
        <v>583</v>
      </c>
      <c r="E25" s="2">
        <v>0.95</v>
      </c>
    </row>
    <row r="26" spans="1:5">
      <c r="A26" t="s">
        <v>935</v>
      </c>
      <c r="B26" s="2" t="str">
        <f t="shared" si="1"/>
        <v>臺北市</v>
      </c>
      <c r="C26" s="2" t="s">
        <v>620</v>
      </c>
      <c r="D26" s="2" t="s">
        <v>584</v>
      </c>
      <c r="E26" s="2">
        <v>0.8</v>
      </c>
    </row>
    <row r="27" spans="1:5">
      <c r="A27" t="s">
        <v>899</v>
      </c>
      <c r="B27" s="2" t="str">
        <f t="shared" si="1"/>
        <v>臺北市</v>
      </c>
      <c r="C27" s="2" t="s">
        <v>571</v>
      </c>
      <c r="D27" s="2" t="s">
        <v>583</v>
      </c>
      <c r="E27" s="2">
        <v>0.95</v>
      </c>
    </row>
    <row r="28" spans="1:5">
      <c r="A28" t="s">
        <v>940</v>
      </c>
      <c r="B28" s="2" t="str">
        <f t="shared" si="1"/>
        <v>臺北市</v>
      </c>
      <c r="C28" s="2" t="s">
        <v>624</v>
      </c>
      <c r="D28" s="2" t="s">
        <v>584</v>
      </c>
      <c r="E28" s="2">
        <v>0.8</v>
      </c>
    </row>
    <row r="29" spans="1:5">
      <c r="A29" t="s">
        <v>901</v>
      </c>
      <c r="B29" s="2" t="str">
        <f t="shared" si="1"/>
        <v>臺北市</v>
      </c>
      <c r="C29" s="2" t="s">
        <v>573</v>
      </c>
      <c r="D29" s="2" t="s">
        <v>583</v>
      </c>
      <c r="E29" s="2">
        <v>0.95</v>
      </c>
    </row>
    <row r="30" spans="1:5">
      <c r="A30" t="s">
        <v>936</v>
      </c>
      <c r="B30" s="2" t="str">
        <f t="shared" si="1"/>
        <v>臺北市</v>
      </c>
      <c r="C30" s="2" t="s">
        <v>591</v>
      </c>
      <c r="D30" s="2" t="s">
        <v>584</v>
      </c>
      <c r="E30" s="2">
        <v>0.8</v>
      </c>
    </row>
    <row r="31" spans="1:5">
      <c r="A31" t="s">
        <v>937</v>
      </c>
      <c r="B31" s="2" t="str">
        <f t="shared" si="1"/>
        <v>臺北市</v>
      </c>
      <c r="C31" s="2" t="s">
        <v>621</v>
      </c>
      <c r="D31" s="2" t="s">
        <v>584</v>
      </c>
      <c r="E31" s="2">
        <v>0.8</v>
      </c>
    </row>
    <row r="32" spans="1:5">
      <c r="A32" t="s">
        <v>862</v>
      </c>
      <c r="B32" s="2" t="str">
        <f t="shared" si="1"/>
        <v>臺北市</v>
      </c>
      <c r="C32" s="2" t="s">
        <v>539</v>
      </c>
      <c r="D32" s="2" t="s">
        <v>521</v>
      </c>
      <c r="E32" s="2">
        <v>1</v>
      </c>
    </row>
    <row r="33" spans="1:5">
      <c r="A33" t="s">
        <v>897</v>
      </c>
      <c r="B33" s="2" t="str">
        <f t="shared" si="1"/>
        <v>臺北市</v>
      </c>
      <c r="C33" s="2" t="s">
        <v>558</v>
      </c>
      <c r="D33" s="2" t="s">
        <v>583</v>
      </c>
      <c r="E33" s="2">
        <v>0.95</v>
      </c>
    </row>
    <row r="34" spans="1:5">
      <c r="A34" t="s">
        <v>863</v>
      </c>
      <c r="B34" s="2" t="str">
        <f t="shared" si="1"/>
        <v>臺北市</v>
      </c>
      <c r="C34" s="2" t="s">
        <v>540</v>
      </c>
      <c r="D34" s="2" t="s">
        <v>521</v>
      </c>
      <c r="E34" s="2">
        <v>1</v>
      </c>
    </row>
    <row r="35" spans="1:5">
      <c r="A35" t="s">
        <v>934</v>
      </c>
      <c r="B35" s="2" t="s">
        <v>534</v>
      </c>
      <c r="C35" s="2" t="s">
        <v>590</v>
      </c>
      <c r="D35" s="2" t="s">
        <v>584</v>
      </c>
      <c r="E35" s="2">
        <v>0.8</v>
      </c>
    </row>
    <row r="36" spans="1:5">
      <c r="A36" t="s">
        <v>861</v>
      </c>
      <c r="B36" s="2" t="str">
        <f>B35</f>
        <v>臺中市</v>
      </c>
      <c r="C36" s="2" t="s">
        <v>538</v>
      </c>
      <c r="D36" s="2" t="s">
        <v>521</v>
      </c>
      <c r="E36" s="2">
        <v>1</v>
      </c>
    </row>
    <row r="37" spans="1:5">
      <c r="A37" t="s">
        <v>896</v>
      </c>
      <c r="B37" s="2" t="str">
        <f>B36</f>
        <v>臺中市</v>
      </c>
      <c r="C37" s="2" t="s">
        <v>570</v>
      </c>
      <c r="D37" s="2" t="s">
        <v>583</v>
      </c>
      <c r="E37" s="2">
        <v>0.95</v>
      </c>
    </row>
    <row r="38" spans="1:5">
      <c r="A38" t="s">
        <v>860</v>
      </c>
      <c r="B38" s="2" t="str">
        <f>B37</f>
        <v>臺中市</v>
      </c>
      <c r="C38" s="2" t="s">
        <v>537</v>
      </c>
      <c r="D38" s="2" t="s">
        <v>521</v>
      </c>
      <c r="E38" s="2">
        <v>1</v>
      </c>
    </row>
    <row r="39" spans="1:5">
      <c r="A39" t="s">
        <v>898</v>
      </c>
      <c r="B39" s="2" t="str">
        <f>B38</f>
        <v>臺中市</v>
      </c>
      <c r="C39" s="2" t="s">
        <v>559</v>
      </c>
      <c r="D39" s="2" t="s">
        <v>583</v>
      </c>
      <c r="E39" s="2">
        <v>0.95</v>
      </c>
    </row>
    <row r="40" spans="1:5">
      <c r="A40" t="s">
        <v>938</v>
      </c>
      <c r="B40" s="2" t="str">
        <f>B39</f>
        <v>臺中市</v>
      </c>
      <c r="C40" s="2" t="s">
        <v>622</v>
      </c>
      <c r="D40" s="2" t="s">
        <v>584</v>
      </c>
      <c r="E40" s="2">
        <v>0.8</v>
      </c>
    </row>
    <row r="41" spans="1:5">
      <c r="A41" t="s">
        <v>859</v>
      </c>
      <c r="B41" s="2" t="s">
        <v>534</v>
      </c>
      <c r="C41" s="2" t="s">
        <v>536</v>
      </c>
      <c r="D41" s="2" t="s">
        <v>521</v>
      </c>
      <c r="E41" s="2">
        <v>1</v>
      </c>
    </row>
    <row r="42" spans="1:5">
      <c r="A42" t="s">
        <v>902</v>
      </c>
      <c r="B42" s="2" t="str">
        <f>B41</f>
        <v>臺中市</v>
      </c>
      <c r="C42" s="2" t="s">
        <v>574</v>
      </c>
      <c r="D42" s="2" t="s">
        <v>583</v>
      </c>
      <c r="E42" s="2">
        <v>0.95</v>
      </c>
    </row>
    <row r="43" spans="1:5">
      <c r="A43" t="s">
        <v>895</v>
      </c>
      <c r="B43" s="2" t="s">
        <v>534</v>
      </c>
      <c r="C43" s="2" t="s">
        <v>608</v>
      </c>
      <c r="D43" s="2" t="s">
        <v>583</v>
      </c>
      <c r="E43" s="2">
        <v>0.95</v>
      </c>
    </row>
    <row r="44" spans="1:5">
      <c r="A44" t="s">
        <v>939</v>
      </c>
      <c r="B44" s="2" t="str">
        <f>B43</f>
        <v>臺中市</v>
      </c>
      <c r="C44" s="2" t="s">
        <v>623</v>
      </c>
      <c r="D44" s="2" t="s">
        <v>584</v>
      </c>
      <c r="E44" s="2">
        <v>0.8</v>
      </c>
    </row>
    <row r="45" spans="1:5">
      <c r="A45" t="s">
        <v>941</v>
      </c>
      <c r="B45" s="2" t="str">
        <f>B44</f>
        <v>臺中市</v>
      </c>
      <c r="C45" s="2" t="s">
        <v>625</v>
      </c>
      <c r="D45" s="2" t="s">
        <v>584</v>
      </c>
      <c r="E45" s="2">
        <v>0.8</v>
      </c>
    </row>
    <row r="46" spans="1:5">
      <c r="A46" t="s">
        <v>911</v>
      </c>
      <c r="B46" s="2" t="s">
        <v>564</v>
      </c>
      <c r="C46" s="2" t="s">
        <v>578</v>
      </c>
      <c r="D46" s="2" t="s">
        <v>583</v>
      </c>
      <c r="E46" s="2">
        <v>0.95</v>
      </c>
    </row>
    <row r="47" spans="1:5">
      <c r="A47" t="s">
        <v>945</v>
      </c>
      <c r="B47" s="2" t="str">
        <f>B46</f>
        <v>彰化縣</v>
      </c>
      <c r="C47" s="2" t="s">
        <v>594</v>
      </c>
      <c r="D47" s="2" t="s">
        <v>584</v>
      </c>
      <c r="E47" s="2">
        <v>0.8</v>
      </c>
    </row>
    <row r="48" spans="1:5">
      <c r="A48" t="s">
        <v>943</v>
      </c>
      <c r="B48" s="2" t="str">
        <f>B47</f>
        <v>彰化縣</v>
      </c>
      <c r="C48" s="2" t="s">
        <v>592</v>
      </c>
      <c r="D48" s="2" t="s">
        <v>584</v>
      </c>
      <c r="E48" s="2">
        <v>0.8</v>
      </c>
    </row>
    <row r="49" spans="1:5">
      <c r="A49" t="s">
        <v>953</v>
      </c>
      <c r="B49" s="2" t="str">
        <f>B48</f>
        <v>彰化縣</v>
      </c>
      <c r="C49" s="2" t="s">
        <v>634</v>
      </c>
      <c r="D49" s="2" t="s">
        <v>584</v>
      </c>
      <c r="E49" s="2">
        <v>0.8</v>
      </c>
    </row>
    <row r="50" spans="1:5">
      <c r="A50" t="s">
        <v>912</v>
      </c>
      <c r="B50" s="2" t="s">
        <v>564</v>
      </c>
      <c r="C50" s="2" t="s">
        <v>579</v>
      </c>
      <c r="D50" s="2" t="s">
        <v>583</v>
      </c>
      <c r="E50" s="2">
        <v>0.95</v>
      </c>
    </row>
    <row r="51" spans="1:5">
      <c r="A51" t="s">
        <v>948</v>
      </c>
      <c r="B51" s="2" t="str">
        <f>B50</f>
        <v>彰化縣</v>
      </c>
      <c r="C51" s="2" t="s">
        <v>629</v>
      </c>
      <c r="D51" s="2" t="s">
        <v>584</v>
      </c>
      <c r="E51" s="2">
        <v>0.8</v>
      </c>
    </row>
    <row r="52" spans="1:5">
      <c r="A52" t="s">
        <v>951</v>
      </c>
      <c r="B52" s="2" t="str">
        <f>B51</f>
        <v>彰化縣</v>
      </c>
      <c r="C52" s="2" t="s">
        <v>632</v>
      </c>
      <c r="D52" s="2" t="s">
        <v>584</v>
      </c>
      <c r="E52" s="2">
        <v>0.8</v>
      </c>
    </row>
    <row r="53" spans="1:5">
      <c r="A53" t="s">
        <v>942</v>
      </c>
      <c r="B53" s="2" t="s">
        <v>564</v>
      </c>
      <c r="C53" s="2" t="s">
        <v>626</v>
      </c>
      <c r="D53" s="2" t="s">
        <v>584</v>
      </c>
      <c r="E53" s="2">
        <v>0.8</v>
      </c>
    </row>
    <row r="54" spans="1:5">
      <c r="A54" t="s">
        <v>947</v>
      </c>
      <c r="B54" s="2" t="str">
        <f t="shared" ref="B54:B60" si="2">B53</f>
        <v>彰化縣</v>
      </c>
      <c r="C54" s="2" t="s">
        <v>628</v>
      </c>
      <c r="D54" s="2" t="s">
        <v>584</v>
      </c>
      <c r="E54" s="2">
        <v>0.8</v>
      </c>
    </row>
    <row r="55" spans="1:5">
      <c r="A55" t="s">
        <v>954</v>
      </c>
      <c r="B55" s="2" t="str">
        <f t="shared" si="2"/>
        <v>彰化縣</v>
      </c>
      <c r="C55" s="2" t="s">
        <v>595</v>
      </c>
      <c r="D55" s="2" t="s">
        <v>584</v>
      </c>
      <c r="E55" s="2">
        <v>0.8</v>
      </c>
    </row>
    <row r="56" spans="1:5">
      <c r="A56" t="s">
        <v>952</v>
      </c>
      <c r="B56" s="2" t="str">
        <f t="shared" si="2"/>
        <v>彰化縣</v>
      </c>
      <c r="C56" s="2" t="s">
        <v>633</v>
      </c>
      <c r="D56" s="2" t="s">
        <v>584</v>
      </c>
      <c r="E56" s="2">
        <v>0.8</v>
      </c>
    </row>
    <row r="57" spans="1:5">
      <c r="A57" t="s">
        <v>949</v>
      </c>
      <c r="B57" s="2" t="str">
        <f t="shared" si="2"/>
        <v>彰化縣</v>
      </c>
      <c r="C57" s="2" t="s">
        <v>630</v>
      </c>
      <c r="D57" s="2" t="s">
        <v>584</v>
      </c>
      <c r="E57" s="2">
        <v>0.8</v>
      </c>
    </row>
    <row r="58" spans="1:5">
      <c r="A58" t="s">
        <v>944</v>
      </c>
      <c r="B58" s="2" t="str">
        <f t="shared" si="2"/>
        <v>彰化縣</v>
      </c>
      <c r="C58" s="2" t="s">
        <v>593</v>
      </c>
      <c r="D58" s="2" t="s">
        <v>584</v>
      </c>
      <c r="E58" s="2">
        <v>0.8</v>
      </c>
    </row>
    <row r="59" spans="1:5">
      <c r="A59" t="s">
        <v>946</v>
      </c>
      <c r="B59" s="2" t="str">
        <f t="shared" si="2"/>
        <v>彰化縣</v>
      </c>
      <c r="C59" s="2" t="s">
        <v>627</v>
      </c>
      <c r="D59" s="2" t="s">
        <v>584</v>
      </c>
      <c r="E59" s="2">
        <v>0.8</v>
      </c>
    </row>
    <row r="60" spans="1:5">
      <c r="A60" t="s">
        <v>950</v>
      </c>
      <c r="B60" s="2" t="str">
        <f t="shared" si="2"/>
        <v>彰化縣</v>
      </c>
      <c r="C60" s="2" t="s">
        <v>631</v>
      </c>
      <c r="D60" s="2" t="s">
        <v>584</v>
      </c>
      <c r="E60" s="2">
        <v>0.8</v>
      </c>
    </row>
    <row r="61" spans="1:5">
      <c r="A61" t="s">
        <v>916</v>
      </c>
      <c r="B61" s="2" t="s">
        <v>566</v>
      </c>
      <c r="C61" s="2" t="s">
        <v>540</v>
      </c>
      <c r="D61" s="2" t="s">
        <v>583</v>
      </c>
      <c r="E61" s="2">
        <v>0.95</v>
      </c>
    </row>
    <row r="62" spans="1:5">
      <c r="A62" t="s">
        <v>915</v>
      </c>
      <c r="B62" s="2" t="s">
        <v>566</v>
      </c>
      <c r="C62" s="2" t="s">
        <v>538</v>
      </c>
      <c r="D62" s="2" t="s">
        <v>583</v>
      </c>
      <c r="E62" s="2">
        <v>0.95</v>
      </c>
    </row>
    <row r="63" spans="1:5">
      <c r="A63" t="s">
        <v>930</v>
      </c>
      <c r="B63" s="2" t="str">
        <f>B62</f>
        <v>嘉義市</v>
      </c>
      <c r="C63" s="2" t="s">
        <v>616</v>
      </c>
      <c r="D63" s="2" t="s">
        <v>584</v>
      </c>
      <c r="E63" s="2">
        <v>0.8</v>
      </c>
    </row>
    <row r="64" spans="1:5">
      <c r="A64" t="s">
        <v>929</v>
      </c>
      <c r="B64" s="2" t="str">
        <f>B63</f>
        <v>嘉義市</v>
      </c>
      <c r="C64" s="2" t="s">
        <v>588</v>
      </c>
      <c r="D64" s="2" t="s">
        <v>584</v>
      </c>
      <c r="E64" s="2">
        <v>0.8</v>
      </c>
    </row>
    <row r="65" spans="1:5">
      <c r="A65" t="s">
        <v>928</v>
      </c>
      <c r="B65" s="2" t="s">
        <v>562</v>
      </c>
      <c r="C65" s="2" t="s">
        <v>589</v>
      </c>
      <c r="D65" s="2" t="s">
        <v>584</v>
      </c>
      <c r="E65" s="2">
        <v>0.8</v>
      </c>
    </row>
    <row r="66" spans="1:5">
      <c r="A66" t="s">
        <v>910</v>
      </c>
      <c r="B66" s="2" t="s">
        <v>562</v>
      </c>
      <c r="C66" s="2" t="s">
        <v>563</v>
      </c>
      <c r="D66" s="2" t="s">
        <v>583</v>
      </c>
      <c r="E66" s="2">
        <v>0.95</v>
      </c>
    </row>
    <row r="67" spans="1:5">
      <c r="A67" t="s">
        <v>977</v>
      </c>
      <c r="B67" s="2" t="s">
        <v>556</v>
      </c>
      <c r="C67" s="2" t="s">
        <v>654</v>
      </c>
      <c r="D67" s="2" t="s">
        <v>584</v>
      </c>
      <c r="E67" s="2">
        <v>0.8</v>
      </c>
    </row>
    <row r="68" spans="1:5">
      <c r="A68" t="s">
        <v>909</v>
      </c>
      <c r="B68" s="2" t="s">
        <v>556</v>
      </c>
      <c r="C68" s="2" t="s">
        <v>540</v>
      </c>
      <c r="D68" s="2" t="s">
        <v>583</v>
      </c>
      <c r="E68" s="2">
        <v>0.95</v>
      </c>
    </row>
    <row r="69" spans="1:5">
      <c r="A69" t="s">
        <v>879</v>
      </c>
      <c r="B69" s="2" t="s">
        <v>556</v>
      </c>
      <c r="C69" s="2" t="s">
        <v>537</v>
      </c>
      <c r="D69" s="2" t="s">
        <v>521</v>
      </c>
      <c r="E69" s="2">
        <v>1</v>
      </c>
    </row>
    <row r="70" spans="1:5">
      <c r="A70" t="s">
        <v>885</v>
      </c>
      <c r="B70" s="2" t="str">
        <f>B69</f>
        <v>新竹市</v>
      </c>
      <c r="C70" s="2" t="s">
        <v>557</v>
      </c>
      <c r="D70" s="2" t="s">
        <v>583</v>
      </c>
      <c r="E70" s="2">
        <v>0.95</v>
      </c>
    </row>
    <row r="71" spans="1:5">
      <c r="A71" t="s">
        <v>852</v>
      </c>
      <c r="B71" s="2" t="str">
        <f>B70</f>
        <v>新竹市</v>
      </c>
      <c r="C71" s="2" t="s">
        <v>526</v>
      </c>
      <c r="D71" s="2" t="s">
        <v>521</v>
      </c>
      <c r="E71" s="2">
        <v>1</v>
      </c>
    </row>
    <row r="72" spans="1:5">
      <c r="A72" t="s">
        <v>883</v>
      </c>
      <c r="B72" s="2" t="s">
        <v>524</v>
      </c>
      <c r="C72" s="2" t="s">
        <v>670</v>
      </c>
      <c r="D72" s="2" t="s">
        <v>583</v>
      </c>
      <c r="E72" s="2">
        <v>0.95</v>
      </c>
    </row>
    <row r="73" spans="1:5">
      <c r="A73" t="s">
        <v>856</v>
      </c>
      <c r="B73" s="2" t="str">
        <f t="shared" ref="B73:B80" si="3">B72</f>
        <v>新北市</v>
      </c>
      <c r="C73" s="2" t="s">
        <v>530</v>
      </c>
      <c r="D73" s="2" t="s">
        <v>521</v>
      </c>
      <c r="E73" s="2">
        <v>1</v>
      </c>
    </row>
    <row r="74" spans="1:5">
      <c r="A74" t="s">
        <v>887</v>
      </c>
      <c r="B74" s="2" t="str">
        <f t="shared" si="3"/>
        <v>新北市</v>
      </c>
      <c r="C74" s="2" t="s">
        <v>603</v>
      </c>
      <c r="D74" s="2" t="s">
        <v>583</v>
      </c>
      <c r="E74" s="2">
        <v>0.95</v>
      </c>
    </row>
    <row r="75" spans="1:5">
      <c r="A75" t="s">
        <v>922</v>
      </c>
      <c r="B75" s="2" t="str">
        <f t="shared" si="3"/>
        <v>新北市</v>
      </c>
      <c r="C75" s="2" t="s">
        <v>612</v>
      </c>
      <c r="D75" s="2" t="s">
        <v>584</v>
      </c>
      <c r="E75" s="2">
        <v>0.8</v>
      </c>
    </row>
    <row r="76" spans="1:5">
      <c r="A76" t="s">
        <v>920</v>
      </c>
      <c r="B76" s="2" t="str">
        <f t="shared" si="3"/>
        <v>新北市</v>
      </c>
      <c r="C76" s="2" t="s">
        <v>610</v>
      </c>
      <c r="D76" s="2" t="s">
        <v>584</v>
      </c>
      <c r="E76" s="2">
        <v>0.8</v>
      </c>
    </row>
    <row r="77" spans="1:5">
      <c r="A77" t="s">
        <v>884</v>
      </c>
      <c r="B77" s="2" t="str">
        <f t="shared" si="3"/>
        <v>新北市</v>
      </c>
      <c r="C77" s="2" t="s">
        <v>601</v>
      </c>
      <c r="D77" s="2" t="s">
        <v>583</v>
      </c>
      <c r="E77" s="2">
        <v>0.95</v>
      </c>
    </row>
    <row r="78" spans="1:5">
      <c r="A78" t="s">
        <v>921</v>
      </c>
      <c r="B78" s="2" t="str">
        <f t="shared" si="3"/>
        <v>新北市</v>
      </c>
      <c r="C78" s="2" t="s">
        <v>611</v>
      </c>
      <c r="D78" s="2" t="s">
        <v>584</v>
      </c>
      <c r="E78" s="2">
        <v>0.8</v>
      </c>
    </row>
    <row r="79" spans="1:5">
      <c r="A79" t="s">
        <v>853</v>
      </c>
      <c r="B79" s="2" t="str">
        <f t="shared" si="3"/>
        <v>新北市</v>
      </c>
      <c r="C79" s="2" t="s">
        <v>527</v>
      </c>
      <c r="D79" s="2" t="s">
        <v>521</v>
      </c>
      <c r="E79" s="2">
        <v>1</v>
      </c>
    </row>
    <row r="80" spans="1:5">
      <c r="A80" t="s">
        <v>886</v>
      </c>
      <c r="B80" s="2" t="str">
        <f t="shared" si="3"/>
        <v>新北市</v>
      </c>
      <c r="C80" s="2" t="s">
        <v>602</v>
      </c>
      <c r="D80" s="2" t="s">
        <v>583</v>
      </c>
      <c r="E80" s="2">
        <v>0.95</v>
      </c>
    </row>
    <row r="81" spans="1:5">
      <c r="A81" t="s">
        <v>851</v>
      </c>
      <c r="B81" s="2" t="s">
        <v>524</v>
      </c>
      <c r="C81" s="2" t="s">
        <v>525</v>
      </c>
      <c r="D81" s="2" t="s">
        <v>521</v>
      </c>
      <c r="E81" s="2">
        <v>1</v>
      </c>
    </row>
    <row r="82" spans="1:5">
      <c r="A82" t="s">
        <v>919</v>
      </c>
      <c r="B82" s="2" t="s">
        <v>524</v>
      </c>
      <c r="C82" s="2" t="s">
        <v>609</v>
      </c>
      <c r="D82" s="2" t="s">
        <v>584</v>
      </c>
      <c r="E82" s="2">
        <v>0.8</v>
      </c>
    </row>
    <row r="83" spans="1:5">
      <c r="A83" t="s">
        <v>857</v>
      </c>
      <c r="B83" s="2" t="str">
        <f>B82</f>
        <v>新北市</v>
      </c>
      <c r="C83" s="2" t="s">
        <v>532</v>
      </c>
      <c r="D83" s="2" t="s">
        <v>521</v>
      </c>
      <c r="E83" s="2">
        <v>1</v>
      </c>
    </row>
    <row r="84" spans="1:5">
      <c r="A84" t="s">
        <v>855</v>
      </c>
      <c r="B84" s="2" t="str">
        <f>B83</f>
        <v>新北市</v>
      </c>
      <c r="C84" s="2" t="s">
        <v>529</v>
      </c>
      <c r="D84" s="2" t="s">
        <v>521</v>
      </c>
      <c r="E84" s="2">
        <v>1</v>
      </c>
    </row>
    <row r="85" spans="1:5">
      <c r="A85" t="s">
        <v>858</v>
      </c>
      <c r="B85" s="2" t="str">
        <f>B84</f>
        <v>新北市</v>
      </c>
      <c r="C85" s="2" t="s">
        <v>533</v>
      </c>
      <c r="D85" s="2" t="s">
        <v>521</v>
      </c>
      <c r="E85" s="2">
        <v>1</v>
      </c>
    </row>
    <row r="86" spans="1:5">
      <c r="A86" t="s">
        <v>854</v>
      </c>
      <c r="B86" s="2" t="str">
        <f>B85</f>
        <v>新北市</v>
      </c>
      <c r="C86" s="2" t="s">
        <v>528</v>
      </c>
      <c r="D86" s="2" t="s">
        <v>521</v>
      </c>
      <c r="E86" s="2">
        <v>1</v>
      </c>
    </row>
    <row r="87" spans="1:5">
      <c r="A87" t="s">
        <v>980</v>
      </c>
      <c r="B87" s="2" t="s">
        <v>657</v>
      </c>
      <c r="C87" s="2" t="s">
        <v>659</v>
      </c>
      <c r="D87" s="2" t="s">
        <v>584</v>
      </c>
      <c r="E87" s="2">
        <v>0.8</v>
      </c>
    </row>
    <row r="88" spans="1:5">
      <c r="A88" t="s">
        <v>979</v>
      </c>
      <c r="B88" s="2" t="s">
        <v>657</v>
      </c>
      <c r="C88" s="2" t="s">
        <v>658</v>
      </c>
      <c r="D88" s="2" t="s">
        <v>584</v>
      </c>
      <c r="E88" s="2">
        <v>0.8</v>
      </c>
    </row>
    <row r="89" spans="1:5">
      <c r="A89" t="s">
        <v>975</v>
      </c>
      <c r="B89" s="2" t="s">
        <v>553</v>
      </c>
      <c r="C89" s="2" t="s">
        <v>652</v>
      </c>
      <c r="D89" s="2" t="s">
        <v>584</v>
      </c>
      <c r="E89" s="2">
        <v>0.8</v>
      </c>
    </row>
    <row r="90" spans="1:5">
      <c r="A90" t="s">
        <v>889</v>
      </c>
      <c r="B90" s="2" t="str">
        <f>B89</f>
        <v>基隆市</v>
      </c>
      <c r="C90" s="2" t="s">
        <v>518</v>
      </c>
      <c r="D90" s="2" t="s">
        <v>583</v>
      </c>
      <c r="E90" s="2">
        <v>0.95</v>
      </c>
    </row>
    <row r="91" spans="1:5">
      <c r="A91" t="s">
        <v>890</v>
      </c>
      <c r="B91" s="2" t="str">
        <f>B90</f>
        <v>基隆市</v>
      </c>
      <c r="C91" s="2" t="s">
        <v>604</v>
      </c>
      <c r="D91" s="2" t="s">
        <v>583</v>
      </c>
      <c r="E91" s="2">
        <v>0.95</v>
      </c>
    </row>
    <row r="92" spans="1:5">
      <c r="A92" t="s">
        <v>877</v>
      </c>
      <c r="B92" s="2" t="s">
        <v>553</v>
      </c>
      <c r="C92" s="2" t="s">
        <v>554</v>
      </c>
      <c r="D92" s="2" t="s">
        <v>521</v>
      </c>
      <c r="E92" s="2">
        <v>1</v>
      </c>
    </row>
    <row r="93" spans="1:5">
      <c r="A93" t="s">
        <v>888</v>
      </c>
      <c r="B93" s="2" t="s">
        <v>553</v>
      </c>
      <c r="C93" s="2" t="s">
        <v>517</v>
      </c>
      <c r="D93" s="2" t="s">
        <v>583</v>
      </c>
      <c r="E93" s="2">
        <v>0.95</v>
      </c>
    </row>
    <row r="94" spans="1:5">
      <c r="A94" t="s">
        <v>891</v>
      </c>
      <c r="B94" s="2" t="str">
        <f t="shared" ref="B94:B101" si="4">B93</f>
        <v>基隆市</v>
      </c>
      <c r="C94" s="2" t="s">
        <v>529</v>
      </c>
      <c r="D94" s="2" t="s">
        <v>583</v>
      </c>
      <c r="E94" s="2">
        <v>0.95</v>
      </c>
    </row>
    <row r="95" spans="1:5">
      <c r="A95" t="s">
        <v>870</v>
      </c>
      <c r="B95" s="2" t="str">
        <f t="shared" si="4"/>
        <v>基隆市</v>
      </c>
      <c r="C95" s="2" t="s">
        <v>545</v>
      </c>
      <c r="D95" s="2" t="s">
        <v>521</v>
      </c>
      <c r="E95" s="2">
        <v>1</v>
      </c>
    </row>
    <row r="96" spans="1:5">
      <c r="A96" t="s">
        <v>968</v>
      </c>
      <c r="B96" s="2" t="str">
        <f t="shared" si="4"/>
        <v>基隆市</v>
      </c>
      <c r="C96" s="2" t="s">
        <v>646</v>
      </c>
      <c r="D96" s="2" t="s">
        <v>584</v>
      </c>
      <c r="E96" s="2">
        <v>0.8</v>
      </c>
    </row>
    <row r="97" spans="1:5">
      <c r="A97" t="s">
        <v>967</v>
      </c>
      <c r="B97" s="2" t="str">
        <f t="shared" si="4"/>
        <v>基隆市</v>
      </c>
      <c r="C97" s="2" t="s">
        <v>645</v>
      </c>
      <c r="D97" s="2" t="s">
        <v>584</v>
      </c>
      <c r="E97" s="2">
        <v>0.8</v>
      </c>
    </row>
    <row r="98" spans="1:5">
      <c r="A98" t="s">
        <v>873</v>
      </c>
      <c r="B98" s="2" t="str">
        <f t="shared" si="4"/>
        <v>基隆市</v>
      </c>
      <c r="C98" s="2" t="s">
        <v>551</v>
      </c>
      <c r="D98" s="2" t="s">
        <v>521</v>
      </c>
      <c r="E98" s="2">
        <v>1</v>
      </c>
    </row>
    <row r="99" spans="1:5">
      <c r="A99" t="s">
        <v>868</v>
      </c>
      <c r="B99" s="2" t="str">
        <f t="shared" si="4"/>
        <v>基隆市</v>
      </c>
      <c r="C99" s="2" t="s">
        <v>543</v>
      </c>
      <c r="D99" s="2" t="s">
        <v>521</v>
      </c>
      <c r="E99" s="2">
        <v>1</v>
      </c>
    </row>
    <row r="100" spans="1:5">
      <c r="A100" t="s">
        <v>876</v>
      </c>
      <c r="B100" s="2" t="str">
        <f t="shared" si="4"/>
        <v>基隆市</v>
      </c>
      <c r="C100" s="2" t="s">
        <v>549</v>
      </c>
      <c r="D100" s="2" t="s">
        <v>521</v>
      </c>
      <c r="E100" s="2">
        <v>1</v>
      </c>
    </row>
    <row r="101" spans="1:5">
      <c r="A101" t="s">
        <v>970</v>
      </c>
      <c r="B101" s="2" t="str">
        <f t="shared" si="4"/>
        <v>基隆市</v>
      </c>
      <c r="C101" s="2" t="s">
        <v>648</v>
      </c>
      <c r="D101" s="2" t="s">
        <v>584</v>
      </c>
      <c r="E101" s="2">
        <v>0.8</v>
      </c>
    </row>
    <row r="102" spans="1:5">
      <c r="A102" t="s">
        <v>906</v>
      </c>
      <c r="B102" s="2" t="s">
        <v>531</v>
      </c>
      <c r="C102" s="2" t="s">
        <v>560</v>
      </c>
      <c r="D102" s="2" t="s">
        <v>583</v>
      </c>
      <c r="E102" s="2">
        <v>0.95</v>
      </c>
    </row>
    <row r="103" spans="1:5">
      <c r="A103" t="s">
        <v>872</v>
      </c>
      <c r="B103" s="2" t="str">
        <f>B102</f>
        <v>高雄市</v>
      </c>
      <c r="C103" s="2" t="s">
        <v>550</v>
      </c>
      <c r="D103" s="2" t="s">
        <v>521</v>
      </c>
      <c r="E103" s="2">
        <v>1</v>
      </c>
    </row>
    <row r="104" spans="1:5">
      <c r="A104" t="s">
        <v>966</v>
      </c>
      <c r="B104" s="2" t="str">
        <f>B103</f>
        <v>高雄市</v>
      </c>
      <c r="C104" s="2" t="s">
        <v>644</v>
      </c>
      <c r="D104" s="2" t="s">
        <v>584</v>
      </c>
      <c r="E104" s="2">
        <v>0.8</v>
      </c>
    </row>
    <row r="105" spans="1:5">
      <c r="A105" t="s">
        <v>964</v>
      </c>
      <c r="B105" s="2" t="str">
        <f>B104</f>
        <v>高雄市</v>
      </c>
      <c r="C105" s="2" t="s">
        <v>597</v>
      </c>
      <c r="D105" s="2" t="s">
        <v>584</v>
      </c>
      <c r="E105" s="2">
        <v>0.8</v>
      </c>
    </row>
    <row r="106" spans="1:5">
      <c r="A106" t="s">
        <v>908</v>
      </c>
      <c r="B106" s="2" t="str">
        <f>B105</f>
        <v>高雄市</v>
      </c>
      <c r="C106" s="2" t="s">
        <v>561</v>
      </c>
      <c r="D106" s="2" t="s">
        <v>583</v>
      </c>
      <c r="E106" s="2">
        <v>0.95</v>
      </c>
    </row>
    <row r="107" spans="1:5">
      <c r="A107" t="s">
        <v>963</v>
      </c>
      <c r="B107" s="2" t="str">
        <f>B106</f>
        <v>高雄市</v>
      </c>
      <c r="C107" s="2" t="s">
        <v>642</v>
      </c>
      <c r="D107" s="2" t="s">
        <v>584</v>
      </c>
      <c r="E107" s="2">
        <v>0.8</v>
      </c>
    </row>
    <row r="108" spans="1:5">
      <c r="A108" t="s">
        <v>867</v>
      </c>
      <c r="B108" s="2" t="s">
        <v>531</v>
      </c>
      <c r="C108" s="2" t="s">
        <v>542</v>
      </c>
      <c r="D108" s="2" t="s">
        <v>521</v>
      </c>
      <c r="E108" s="2">
        <v>1</v>
      </c>
    </row>
    <row r="109" spans="1:5">
      <c r="A109" t="s">
        <v>875</v>
      </c>
      <c r="B109" s="2" t="str">
        <f>B108</f>
        <v>高雄市</v>
      </c>
      <c r="C109" s="2" t="s">
        <v>548</v>
      </c>
      <c r="D109" s="2" t="s">
        <v>521</v>
      </c>
      <c r="E109" s="2">
        <v>1</v>
      </c>
    </row>
    <row r="110" spans="1:5">
      <c r="A110" t="s">
        <v>871</v>
      </c>
      <c r="B110" s="2" t="str">
        <f>B109</f>
        <v>高雄市</v>
      </c>
      <c r="C110" s="2" t="s">
        <v>546</v>
      </c>
      <c r="D110" s="2" t="s">
        <v>521</v>
      </c>
      <c r="E110" s="2">
        <v>1</v>
      </c>
    </row>
    <row r="111" spans="1:5">
      <c r="A111" t="s">
        <v>961</v>
      </c>
      <c r="B111" s="2" t="str">
        <f>B110</f>
        <v>高雄市</v>
      </c>
      <c r="C111" s="2" t="s">
        <v>640</v>
      </c>
      <c r="D111" s="2" t="s">
        <v>584</v>
      </c>
      <c r="E111" s="2">
        <v>0.8</v>
      </c>
    </row>
    <row r="112" spans="1:5">
      <c r="A112" t="s">
        <v>962</v>
      </c>
      <c r="B112" s="2" t="str">
        <f>B111</f>
        <v>高雄市</v>
      </c>
      <c r="C112" s="2" t="s">
        <v>641</v>
      </c>
      <c r="D112" s="2" t="s">
        <v>584</v>
      </c>
      <c r="E112" s="2">
        <v>0.8</v>
      </c>
    </row>
    <row r="113" spans="1:5">
      <c r="A113" t="s">
        <v>874</v>
      </c>
      <c r="B113" s="2" t="str">
        <f>B112</f>
        <v>高雄市</v>
      </c>
      <c r="C113" s="2" t="s">
        <v>547</v>
      </c>
      <c r="D113" s="2" t="s">
        <v>521</v>
      </c>
      <c r="E113" s="2">
        <v>1</v>
      </c>
    </row>
    <row r="114" spans="1:5">
      <c r="A114" t="s">
        <v>960</v>
      </c>
      <c r="B114" s="2" t="s">
        <v>531</v>
      </c>
      <c r="C114" s="2" t="s">
        <v>639</v>
      </c>
      <c r="D114" s="2" t="s">
        <v>584</v>
      </c>
      <c r="E114" s="2">
        <v>0.8</v>
      </c>
    </row>
    <row r="115" spans="1:5">
      <c r="A115" t="s">
        <v>907</v>
      </c>
      <c r="B115" s="2" t="str">
        <f>B114</f>
        <v>高雄市</v>
      </c>
      <c r="C115" s="2" t="s">
        <v>577</v>
      </c>
      <c r="D115" s="2" t="s">
        <v>583</v>
      </c>
      <c r="E115" s="2">
        <v>0.95</v>
      </c>
    </row>
    <row r="116" spans="1:5">
      <c r="A116" t="s">
        <v>965</v>
      </c>
      <c r="B116" s="2" t="str">
        <f>B115</f>
        <v>高雄市</v>
      </c>
      <c r="C116" s="2" t="s">
        <v>643</v>
      </c>
      <c r="D116" s="2" t="s">
        <v>584</v>
      </c>
      <c r="E116" s="2">
        <v>0.8</v>
      </c>
    </row>
    <row r="117" spans="1:5">
      <c r="A117" t="s">
        <v>969</v>
      </c>
      <c r="B117" s="2" t="str">
        <f>B116</f>
        <v>高雄市</v>
      </c>
      <c r="C117" s="2" t="s">
        <v>647</v>
      </c>
      <c r="D117" s="2" t="s">
        <v>584</v>
      </c>
      <c r="E117" s="2">
        <v>0.8</v>
      </c>
    </row>
    <row r="118" spans="1:5">
      <c r="A118" t="s">
        <v>869</v>
      </c>
      <c r="B118" s="2" t="str">
        <f>B117</f>
        <v>高雄市</v>
      </c>
      <c r="C118" s="2" t="s">
        <v>544</v>
      </c>
      <c r="D118" s="2" t="s">
        <v>521</v>
      </c>
      <c r="E118" s="2">
        <v>1</v>
      </c>
    </row>
    <row r="119" spans="1:5">
      <c r="A119" t="s">
        <v>924</v>
      </c>
      <c r="B119" s="2" t="str">
        <f>B118</f>
        <v>高雄市</v>
      </c>
      <c r="C119" s="2" t="s">
        <v>586</v>
      </c>
      <c r="D119" s="2" t="s">
        <v>584</v>
      </c>
      <c r="E119" s="2">
        <v>0.8</v>
      </c>
    </row>
    <row r="120" spans="1:5">
      <c r="A120" t="s">
        <v>923</v>
      </c>
      <c r="B120" s="2" t="s">
        <v>555</v>
      </c>
      <c r="C120" s="2" t="s">
        <v>613</v>
      </c>
      <c r="D120" s="2" t="s">
        <v>584</v>
      </c>
      <c r="E120" s="2">
        <v>0.8</v>
      </c>
    </row>
    <row r="121" spans="1:5">
      <c r="A121" t="s">
        <v>926</v>
      </c>
      <c r="B121" s="2" t="str">
        <f>B120</f>
        <v>桃園市</v>
      </c>
      <c r="C121" s="2" t="s">
        <v>614</v>
      </c>
      <c r="D121" s="2" t="s">
        <v>584</v>
      </c>
      <c r="E121" s="2">
        <v>0.8</v>
      </c>
    </row>
    <row r="122" spans="1:5">
      <c r="A122" t="s">
        <v>925</v>
      </c>
      <c r="B122" s="2" t="str">
        <f>B121</f>
        <v>桃園市</v>
      </c>
      <c r="C122" s="2" t="s">
        <v>587</v>
      </c>
      <c r="D122" s="2" t="s">
        <v>584</v>
      </c>
      <c r="E122" s="2">
        <v>0.8</v>
      </c>
    </row>
    <row r="123" spans="1:5">
      <c r="A123" t="s">
        <v>878</v>
      </c>
      <c r="B123" s="2" t="s">
        <v>555</v>
      </c>
      <c r="C123" s="2" t="s">
        <v>552</v>
      </c>
      <c r="D123" s="2" t="s">
        <v>521</v>
      </c>
      <c r="E123" s="2">
        <v>1</v>
      </c>
    </row>
    <row r="124" spans="1:5">
      <c r="A124" t="s">
        <v>894</v>
      </c>
      <c r="B124" s="2" t="str">
        <f>B123</f>
        <v>桃園市</v>
      </c>
      <c r="C124" s="2" t="s">
        <v>607</v>
      </c>
      <c r="D124" s="2" t="s">
        <v>583</v>
      </c>
      <c r="E124" s="2">
        <v>0.95</v>
      </c>
    </row>
    <row r="125" spans="1:5">
      <c r="A125" t="s">
        <v>893</v>
      </c>
      <c r="B125" s="2" t="str">
        <f>B124</f>
        <v>桃園市</v>
      </c>
      <c r="C125" s="2" t="s">
        <v>606</v>
      </c>
      <c r="D125" s="2" t="s">
        <v>583</v>
      </c>
      <c r="E125" s="2">
        <v>0.95</v>
      </c>
    </row>
    <row r="126" spans="1:5">
      <c r="A126" t="s">
        <v>927</v>
      </c>
      <c r="B126" s="2" t="str">
        <f>B125</f>
        <v>桃園市</v>
      </c>
      <c r="C126" s="2" t="s">
        <v>615</v>
      </c>
      <c r="D126" s="2" t="s">
        <v>584</v>
      </c>
      <c r="E126" s="2">
        <v>0.8</v>
      </c>
    </row>
    <row r="127" spans="1:5">
      <c r="A127" t="s">
        <v>892</v>
      </c>
      <c r="B127" s="2" t="s">
        <v>555</v>
      </c>
      <c r="C127" s="2" t="s">
        <v>605</v>
      </c>
      <c r="D127" s="2" t="s">
        <v>583</v>
      </c>
      <c r="E127" s="2">
        <v>0.95</v>
      </c>
    </row>
    <row r="128" spans="1:5">
      <c r="A128" t="s">
        <v>933</v>
      </c>
      <c r="B128" s="2" t="str">
        <f>B127</f>
        <v>桃園市</v>
      </c>
      <c r="C128" s="2" t="s">
        <v>619</v>
      </c>
      <c r="D128" s="2" t="s">
        <v>584</v>
      </c>
      <c r="E128" s="2">
        <v>0.8</v>
      </c>
    </row>
    <row r="129" spans="1:5">
      <c r="A129" t="s">
        <v>931</v>
      </c>
      <c r="B129" s="2" t="s">
        <v>585</v>
      </c>
      <c r="C129" s="2" t="s">
        <v>617</v>
      </c>
      <c r="D129" s="2" t="s">
        <v>584</v>
      </c>
      <c r="E129" s="2">
        <v>0.8</v>
      </c>
    </row>
    <row r="130" spans="1:5">
      <c r="A130" t="s">
        <v>932</v>
      </c>
      <c r="B130" s="2" t="str">
        <f>B129</f>
        <v>苗栗縣</v>
      </c>
      <c r="C130" s="2" t="s">
        <v>618</v>
      </c>
      <c r="D130" s="2" t="s">
        <v>584</v>
      </c>
      <c r="E130" s="2">
        <v>0.8</v>
      </c>
    </row>
    <row r="131" spans="1:5">
      <c r="A131" t="s">
        <v>973</v>
      </c>
      <c r="B131" s="2" t="str">
        <f>B130</f>
        <v>苗栗縣</v>
      </c>
      <c r="C131" s="2" t="s">
        <v>650</v>
      </c>
      <c r="D131" s="2" t="s">
        <v>584</v>
      </c>
      <c r="E131" s="2">
        <v>0.8</v>
      </c>
    </row>
    <row r="132" spans="1:5">
      <c r="A132" t="s">
        <v>971</v>
      </c>
      <c r="B132" s="2" t="s">
        <v>567</v>
      </c>
      <c r="C132" s="2" t="s">
        <v>598</v>
      </c>
      <c r="D132" s="2" t="s">
        <v>584</v>
      </c>
      <c r="E132" s="2">
        <v>0.8</v>
      </c>
    </row>
    <row r="133" spans="1:5">
      <c r="A133" t="s">
        <v>917</v>
      </c>
      <c r="B133" s="2" t="s">
        <v>567</v>
      </c>
      <c r="C133" s="2" t="s">
        <v>568</v>
      </c>
      <c r="D133" s="2" t="s">
        <v>583</v>
      </c>
      <c r="E133" s="2">
        <v>0.95</v>
      </c>
    </row>
    <row r="134" spans="1:5">
      <c r="A134" t="s">
        <v>974</v>
      </c>
      <c r="B134" s="2" t="str">
        <f>B133</f>
        <v>屏東縣</v>
      </c>
      <c r="C134" s="2" t="s">
        <v>651</v>
      </c>
      <c r="D134" s="2" t="s">
        <v>584</v>
      </c>
      <c r="E134" s="2">
        <v>0.8</v>
      </c>
    </row>
    <row r="135" spans="1:5">
      <c r="A135" t="s">
        <v>972</v>
      </c>
      <c r="B135" s="2" t="str">
        <f>B134</f>
        <v>屏東縣</v>
      </c>
      <c r="C135" s="2" t="s">
        <v>649</v>
      </c>
      <c r="D135" s="2" t="s">
        <v>584</v>
      </c>
      <c r="E135" s="2">
        <v>0.8</v>
      </c>
    </row>
    <row r="136" spans="1:5">
      <c r="A136" t="s">
        <v>978</v>
      </c>
      <c r="B136" s="2" t="s">
        <v>655</v>
      </c>
      <c r="C136" s="2" t="s">
        <v>656</v>
      </c>
      <c r="D136" s="2" t="s">
        <v>584</v>
      </c>
      <c r="E136" s="2">
        <v>0.8</v>
      </c>
    </row>
    <row r="137" spans="1:5">
      <c r="A137" t="s">
        <v>983</v>
      </c>
      <c r="B137" s="2" t="s">
        <v>661</v>
      </c>
      <c r="C137" s="2" t="s">
        <v>663</v>
      </c>
      <c r="D137" s="2" t="s">
        <v>584</v>
      </c>
      <c r="E137" s="2">
        <v>0.8</v>
      </c>
    </row>
    <row r="138" spans="1:5">
      <c r="A138" t="s">
        <v>982</v>
      </c>
      <c r="B138" s="2" t="s">
        <v>661</v>
      </c>
      <c r="C138" s="2" t="s">
        <v>662</v>
      </c>
      <c r="D138" s="2" t="s">
        <v>584</v>
      </c>
      <c r="E138" s="2">
        <v>0.8</v>
      </c>
    </row>
    <row r="139" spans="1:5">
      <c r="A139" t="s">
        <v>918</v>
      </c>
      <c r="B139" s="2" t="s">
        <v>569</v>
      </c>
      <c r="C139" s="2" t="s">
        <v>582</v>
      </c>
      <c r="D139" s="2" t="s">
        <v>583</v>
      </c>
      <c r="E139" s="2">
        <v>0.95</v>
      </c>
    </row>
    <row r="140" spans="1:5">
      <c r="A140" t="s">
        <v>981</v>
      </c>
      <c r="B140" s="2" t="s">
        <v>569</v>
      </c>
      <c r="C140" s="2" t="s">
        <v>660</v>
      </c>
      <c r="D140" s="2" t="s">
        <v>584</v>
      </c>
      <c r="E140" s="2">
        <v>0.8</v>
      </c>
    </row>
    <row r="141" spans="1:5">
      <c r="A141" t="s">
        <v>913</v>
      </c>
      <c r="B141" s="2" t="s">
        <v>565</v>
      </c>
      <c r="C141" s="2" t="s">
        <v>580</v>
      </c>
      <c r="D141" s="2" t="s">
        <v>583</v>
      </c>
      <c r="E141" s="2">
        <v>0.95</v>
      </c>
    </row>
    <row r="142" spans="1:5">
      <c r="A142" t="s">
        <v>914</v>
      </c>
      <c r="B142" s="2" t="s">
        <v>565</v>
      </c>
      <c r="C142" s="2" t="s">
        <v>581</v>
      </c>
      <c r="D142" s="2" t="s">
        <v>583</v>
      </c>
      <c r="E142" s="2">
        <v>0.95</v>
      </c>
    </row>
    <row r="143" spans="1:5">
      <c r="A143" t="s">
        <v>976</v>
      </c>
      <c r="B143" s="2" t="s">
        <v>565</v>
      </c>
      <c r="C143" s="2" t="s">
        <v>653</v>
      </c>
      <c r="D143" s="2" t="s">
        <v>584</v>
      </c>
      <c r="E143" s="2">
        <v>0.8</v>
      </c>
    </row>
    <row r="144" spans="1:5">
      <c r="A144" t="s">
        <v>985</v>
      </c>
      <c r="B144" s="2" t="s">
        <v>600</v>
      </c>
      <c r="C144" s="2" t="s">
        <v>600</v>
      </c>
      <c r="D144" s="2" t="s">
        <v>599</v>
      </c>
      <c r="E144" s="2">
        <v>0.7</v>
      </c>
    </row>
  </sheetData>
  <autoFilter ref="A1:E144" xr:uid="{9CE99AC0-1AC9-204E-B0DA-A4B32F2CA991}">
    <sortState xmlns:xlrd2="http://schemas.microsoft.com/office/spreadsheetml/2017/richdata2" ref="A2:E144">
      <sortCondition descending="1" ref="A1:A144"/>
    </sortState>
  </autoFilter>
  <phoneticPr fontId="7" type="noConversion"/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4488A-1038-EC4A-AEC6-D6F1DB231E7C}">
  <sheetPr>
    <tabColor theme="8" tint="0.79998168889431442"/>
  </sheetPr>
  <dimension ref="A1:AB277"/>
  <sheetViews>
    <sheetView topLeftCell="E1" zoomScale="75" workbookViewId="0">
      <selection activeCell="N15" sqref="N15"/>
    </sheetView>
  </sheetViews>
  <sheetFormatPr baseColWidth="10" defaultRowHeight="16"/>
  <cols>
    <col min="1" max="1" width="32.28515625" customWidth="1"/>
    <col min="2" max="2" width="9.140625" style="2" customWidth="1"/>
    <col min="3" max="4" width="7.85546875" style="2" customWidth="1"/>
    <col min="5" max="5" width="32.85546875" style="30" customWidth="1"/>
    <col min="6" max="13" width="10.7109375" style="28" customWidth="1"/>
    <col min="14" max="27" width="10.7109375" style="2"/>
  </cols>
  <sheetData>
    <row r="1" spans="1:27" ht="16" customHeight="1">
      <c r="A1" s="157" t="s">
        <v>158</v>
      </c>
      <c r="B1" s="239" t="s">
        <v>179</v>
      </c>
      <c r="C1" s="240"/>
      <c r="D1" s="241"/>
      <c r="E1" s="236" t="s">
        <v>159</v>
      </c>
      <c r="F1" s="238" t="s">
        <v>168</v>
      </c>
      <c r="G1" s="238" t="s">
        <v>167</v>
      </c>
      <c r="H1" s="237" t="s">
        <v>166</v>
      </c>
      <c r="I1" s="237"/>
      <c r="J1" s="237"/>
      <c r="K1" s="237"/>
      <c r="L1" s="237"/>
      <c r="M1" s="237"/>
      <c r="N1" s="235" t="s">
        <v>363</v>
      </c>
      <c r="O1" s="235" t="s">
        <v>364</v>
      </c>
      <c r="P1" s="235" t="s">
        <v>366</v>
      </c>
      <c r="Q1" s="235" t="s">
        <v>365</v>
      </c>
      <c r="R1" s="235" t="s">
        <v>367</v>
      </c>
      <c r="S1" s="235" t="s">
        <v>368</v>
      </c>
      <c r="T1" s="235" t="s">
        <v>378</v>
      </c>
      <c r="U1" s="235" t="s">
        <v>376</v>
      </c>
      <c r="V1" s="235"/>
      <c r="W1" s="235"/>
      <c r="X1" s="235"/>
      <c r="Y1" s="235"/>
      <c r="Z1" s="235"/>
      <c r="AA1" s="235" t="s">
        <v>369</v>
      </c>
    </row>
    <row r="2" spans="1:27" ht="32" customHeight="1">
      <c r="A2" s="157"/>
      <c r="B2" s="242"/>
      <c r="C2" s="243"/>
      <c r="D2" s="244"/>
      <c r="E2" s="236"/>
      <c r="F2" s="237"/>
      <c r="G2" s="237"/>
      <c r="H2" s="237" t="s">
        <v>160</v>
      </c>
      <c r="I2" s="237"/>
      <c r="J2" s="237"/>
      <c r="K2" s="237" t="s">
        <v>161</v>
      </c>
      <c r="L2" s="237"/>
      <c r="M2" s="237"/>
      <c r="N2" s="235"/>
      <c r="O2" s="235"/>
      <c r="P2" s="235"/>
      <c r="Q2" s="235"/>
      <c r="R2" s="235"/>
      <c r="S2" s="235"/>
      <c r="T2" s="235"/>
      <c r="U2" s="235" t="s">
        <v>374</v>
      </c>
      <c r="V2" s="235"/>
      <c r="W2" s="235"/>
      <c r="X2" s="248" t="s">
        <v>375</v>
      </c>
      <c r="Y2" s="235"/>
      <c r="Z2" s="235"/>
      <c r="AA2" s="235"/>
    </row>
    <row r="3" spans="1:27" ht="17">
      <c r="A3" s="157"/>
      <c r="B3" s="245"/>
      <c r="C3" s="246"/>
      <c r="D3" s="247"/>
      <c r="E3" s="236"/>
      <c r="F3" s="237"/>
      <c r="G3" s="237"/>
      <c r="H3" s="32" t="s">
        <v>162</v>
      </c>
      <c r="I3" s="32" t="s">
        <v>163</v>
      </c>
      <c r="J3" s="32" t="s">
        <v>164</v>
      </c>
      <c r="K3" s="32" t="s">
        <v>162</v>
      </c>
      <c r="L3" s="32" t="s">
        <v>163</v>
      </c>
      <c r="M3" s="32" t="s">
        <v>164</v>
      </c>
      <c r="N3" s="235"/>
      <c r="O3" s="235"/>
      <c r="P3" s="235"/>
      <c r="Q3" s="235"/>
      <c r="R3" s="235"/>
      <c r="S3" s="235"/>
      <c r="T3" s="235"/>
      <c r="U3" s="33" t="s">
        <v>371</v>
      </c>
      <c r="V3" s="33" t="s">
        <v>372</v>
      </c>
      <c r="W3" s="31" t="s">
        <v>373</v>
      </c>
      <c r="X3" s="33" t="s">
        <v>371</v>
      </c>
      <c r="Y3" s="33" t="s">
        <v>372</v>
      </c>
      <c r="Z3" s="31" t="s">
        <v>373</v>
      </c>
      <c r="AA3" s="235"/>
    </row>
    <row r="4" spans="1:27">
      <c r="A4" s="34" t="s">
        <v>165</v>
      </c>
      <c r="B4" s="34" t="s">
        <v>169</v>
      </c>
      <c r="C4" s="34" t="s">
        <v>381</v>
      </c>
      <c r="D4" s="34" t="str">
        <f>B4&amp;C4</f>
        <v>A1min</v>
      </c>
      <c r="E4" s="35" t="s">
        <v>175</v>
      </c>
      <c r="F4" s="36">
        <v>10.029999999999999</v>
      </c>
      <c r="G4" s="36">
        <v>15.92</v>
      </c>
      <c r="H4" s="36">
        <v>43.49</v>
      </c>
      <c r="I4" s="36">
        <v>48.22</v>
      </c>
      <c r="J4" s="36">
        <v>54.65</v>
      </c>
      <c r="K4" s="36">
        <v>29.57</v>
      </c>
      <c r="L4" s="36">
        <v>35.94</v>
      </c>
      <c r="M4" s="36">
        <v>40.299999999999997</v>
      </c>
      <c r="N4" s="36">
        <v>5</v>
      </c>
      <c r="O4" s="36">
        <v>0.05</v>
      </c>
      <c r="P4" s="36">
        <v>3.5</v>
      </c>
      <c r="Q4" s="36">
        <v>2.1800000000000002</v>
      </c>
      <c r="R4" s="36">
        <v>10</v>
      </c>
      <c r="S4" s="36">
        <v>168</v>
      </c>
      <c r="T4" s="36">
        <v>8760</v>
      </c>
      <c r="U4" s="36">
        <v>8760</v>
      </c>
      <c r="V4" s="36">
        <v>8760</v>
      </c>
      <c r="W4" s="36">
        <v>8760</v>
      </c>
      <c r="X4" s="36">
        <v>8760</v>
      </c>
      <c r="Y4" s="36">
        <v>8760</v>
      </c>
      <c r="Z4" s="36">
        <v>8760</v>
      </c>
      <c r="AA4" s="36">
        <v>365</v>
      </c>
    </row>
    <row r="5" spans="1:27">
      <c r="A5" s="34" t="s">
        <v>165</v>
      </c>
      <c r="B5" s="34" t="s">
        <v>169</v>
      </c>
      <c r="C5" s="34" t="s">
        <v>382</v>
      </c>
      <c r="D5" s="34" t="str">
        <f t="shared" ref="D5:D68" si="0">B5&amp;C5</f>
        <v>A1m</v>
      </c>
      <c r="E5" s="35" t="s">
        <v>175</v>
      </c>
      <c r="F5" s="36">
        <v>10.029999999999999</v>
      </c>
      <c r="G5" s="36">
        <v>21.11</v>
      </c>
      <c r="H5" s="36">
        <v>53.66</v>
      </c>
      <c r="I5" s="36">
        <v>59.7</v>
      </c>
      <c r="J5" s="36">
        <v>68.040000000000006</v>
      </c>
      <c r="K5" s="36">
        <v>36.99</v>
      </c>
      <c r="L5" s="36">
        <v>44.9</v>
      </c>
      <c r="M5" s="36">
        <v>50.43</v>
      </c>
      <c r="N5" s="36">
        <f t="shared" ref="N5:AA6" si="1">N4</f>
        <v>5</v>
      </c>
      <c r="O5" s="36">
        <f t="shared" si="1"/>
        <v>0.05</v>
      </c>
      <c r="P5" s="36">
        <f t="shared" si="1"/>
        <v>3.5</v>
      </c>
      <c r="Q5" s="36">
        <f t="shared" si="1"/>
        <v>2.1800000000000002</v>
      </c>
      <c r="R5" s="36">
        <f t="shared" si="1"/>
        <v>10</v>
      </c>
      <c r="S5" s="36">
        <f t="shared" si="1"/>
        <v>168</v>
      </c>
      <c r="T5" s="36">
        <f t="shared" si="1"/>
        <v>8760</v>
      </c>
      <c r="U5" s="36">
        <f t="shared" si="1"/>
        <v>8760</v>
      </c>
      <c r="V5" s="36">
        <f t="shared" si="1"/>
        <v>8760</v>
      </c>
      <c r="W5" s="36">
        <f t="shared" si="1"/>
        <v>8760</v>
      </c>
      <c r="X5" s="36">
        <f t="shared" si="1"/>
        <v>8760</v>
      </c>
      <c r="Y5" s="36">
        <f t="shared" si="1"/>
        <v>8760</v>
      </c>
      <c r="Z5" s="36">
        <f t="shared" si="1"/>
        <v>8760</v>
      </c>
      <c r="AA5" s="36">
        <f t="shared" si="1"/>
        <v>365</v>
      </c>
    </row>
    <row r="6" spans="1:27">
      <c r="A6" s="34" t="s">
        <v>165</v>
      </c>
      <c r="B6" s="34" t="s">
        <v>169</v>
      </c>
      <c r="C6" s="34" t="s">
        <v>383</v>
      </c>
      <c r="D6" s="34" t="str">
        <f t="shared" si="0"/>
        <v>A1max</v>
      </c>
      <c r="E6" s="35" t="s">
        <v>175</v>
      </c>
      <c r="F6" s="36">
        <v>10.029999999999999</v>
      </c>
      <c r="G6" s="36">
        <v>39.86</v>
      </c>
      <c r="H6" s="36">
        <v>75.569999999999993</v>
      </c>
      <c r="I6" s="36">
        <v>84.93</v>
      </c>
      <c r="J6" s="36">
        <v>96.91</v>
      </c>
      <c r="K6" s="36">
        <v>52.89</v>
      </c>
      <c r="L6" s="36">
        <v>64.16</v>
      </c>
      <c r="M6" s="36">
        <v>71.8</v>
      </c>
      <c r="N6" s="36">
        <f t="shared" si="1"/>
        <v>5</v>
      </c>
      <c r="O6" s="36">
        <f t="shared" si="1"/>
        <v>0.05</v>
      </c>
      <c r="P6" s="36">
        <f t="shared" si="1"/>
        <v>3.5</v>
      </c>
      <c r="Q6" s="36">
        <f t="shared" si="1"/>
        <v>2.1800000000000002</v>
      </c>
      <c r="R6" s="36">
        <f t="shared" si="1"/>
        <v>10</v>
      </c>
      <c r="S6" s="36">
        <f t="shared" si="1"/>
        <v>168</v>
      </c>
      <c r="T6" s="36">
        <f t="shared" si="1"/>
        <v>8760</v>
      </c>
      <c r="U6" s="36">
        <f t="shared" si="1"/>
        <v>8760</v>
      </c>
      <c r="V6" s="36">
        <f t="shared" si="1"/>
        <v>8760</v>
      </c>
      <c r="W6" s="36">
        <f t="shared" si="1"/>
        <v>8760</v>
      </c>
      <c r="X6" s="36">
        <f t="shared" si="1"/>
        <v>8760</v>
      </c>
      <c r="Y6" s="36">
        <f t="shared" si="1"/>
        <v>8760</v>
      </c>
      <c r="Z6" s="36">
        <f t="shared" si="1"/>
        <v>8760</v>
      </c>
      <c r="AA6" s="36">
        <f t="shared" si="1"/>
        <v>365</v>
      </c>
    </row>
    <row r="7" spans="1:27">
      <c r="A7" s="34" t="s">
        <v>165</v>
      </c>
      <c r="B7" s="34" t="s">
        <v>170</v>
      </c>
      <c r="C7" s="34" t="s">
        <v>381</v>
      </c>
      <c r="D7" s="34" t="str">
        <f t="shared" si="0"/>
        <v>A2min</v>
      </c>
      <c r="E7" s="35" t="s">
        <v>176</v>
      </c>
      <c r="F7" s="36">
        <v>16.760000000000002</v>
      </c>
      <c r="G7" s="36">
        <v>19.91</v>
      </c>
      <c r="H7" s="36">
        <v>29.23</v>
      </c>
      <c r="I7" s="36">
        <v>33.869999999999997</v>
      </c>
      <c r="J7" s="36">
        <v>39.5</v>
      </c>
      <c r="K7" s="36">
        <v>20.92</v>
      </c>
      <c r="L7" s="36">
        <v>25.74</v>
      </c>
      <c r="M7" s="36">
        <v>28.86</v>
      </c>
      <c r="N7" s="36">
        <v>12</v>
      </c>
      <c r="O7" s="36">
        <v>0.1</v>
      </c>
      <c r="P7" s="36">
        <v>9.5</v>
      </c>
      <c r="Q7" s="36">
        <v>0.89</v>
      </c>
      <c r="R7" s="36">
        <v>10</v>
      </c>
      <c r="S7" s="36">
        <v>40</v>
      </c>
      <c r="T7" s="36">
        <v>2080</v>
      </c>
      <c r="U7" s="36">
        <v>2080</v>
      </c>
      <c r="V7" s="36">
        <v>2080</v>
      </c>
      <c r="W7" s="36">
        <v>2080</v>
      </c>
      <c r="X7" s="36">
        <v>2080</v>
      </c>
      <c r="Y7" s="36">
        <v>2080</v>
      </c>
      <c r="Z7" s="36">
        <v>2080</v>
      </c>
      <c r="AA7" s="36">
        <v>260</v>
      </c>
    </row>
    <row r="8" spans="1:27">
      <c r="A8" s="34" t="s">
        <v>165</v>
      </c>
      <c r="B8" s="34" t="s">
        <v>170</v>
      </c>
      <c r="C8" s="34" t="s">
        <v>382</v>
      </c>
      <c r="D8" s="34" t="str">
        <f t="shared" si="0"/>
        <v>A2m</v>
      </c>
      <c r="E8" s="35" t="s">
        <v>176</v>
      </c>
      <c r="F8" s="36">
        <v>16.760000000000002</v>
      </c>
      <c r="G8" s="36">
        <v>26.51</v>
      </c>
      <c r="H8" s="36">
        <v>36.57</v>
      </c>
      <c r="I8" s="36">
        <v>42.5</v>
      </c>
      <c r="J8" s="36">
        <v>49.44</v>
      </c>
      <c r="K8" s="36">
        <v>26.08</v>
      </c>
      <c r="L8" s="36">
        <v>32.15</v>
      </c>
      <c r="M8" s="36">
        <v>35.869999999999997</v>
      </c>
      <c r="N8" s="36">
        <f t="shared" ref="N8:AA9" si="2">N7</f>
        <v>12</v>
      </c>
      <c r="O8" s="36">
        <f t="shared" si="2"/>
        <v>0.1</v>
      </c>
      <c r="P8" s="36">
        <f t="shared" si="2"/>
        <v>9.5</v>
      </c>
      <c r="Q8" s="36">
        <f t="shared" si="2"/>
        <v>0.89</v>
      </c>
      <c r="R8" s="36">
        <f t="shared" si="2"/>
        <v>10</v>
      </c>
      <c r="S8" s="36">
        <f t="shared" si="2"/>
        <v>40</v>
      </c>
      <c r="T8" s="36">
        <f t="shared" si="2"/>
        <v>2080</v>
      </c>
      <c r="U8" s="36">
        <f t="shared" si="2"/>
        <v>2080</v>
      </c>
      <c r="V8" s="36">
        <f t="shared" si="2"/>
        <v>2080</v>
      </c>
      <c r="W8" s="36">
        <f t="shared" si="2"/>
        <v>2080</v>
      </c>
      <c r="X8" s="36">
        <f t="shared" si="2"/>
        <v>2080</v>
      </c>
      <c r="Y8" s="36">
        <f t="shared" si="2"/>
        <v>2080</v>
      </c>
      <c r="Z8" s="36">
        <f t="shared" si="2"/>
        <v>2080</v>
      </c>
      <c r="AA8" s="36">
        <f t="shared" si="2"/>
        <v>260</v>
      </c>
    </row>
    <row r="9" spans="1:27">
      <c r="A9" s="34" t="s">
        <v>165</v>
      </c>
      <c r="B9" s="34" t="s">
        <v>170</v>
      </c>
      <c r="C9" s="34" t="s">
        <v>383</v>
      </c>
      <c r="D9" s="34" t="str">
        <f t="shared" si="0"/>
        <v>A2max</v>
      </c>
      <c r="E9" s="35" t="s">
        <v>176</v>
      </c>
      <c r="F9" s="36">
        <v>16.760000000000002</v>
      </c>
      <c r="G9" s="36">
        <v>49.54</v>
      </c>
      <c r="H9" s="36">
        <v>53.17</v>
      </c>
      <c r="I9" s="36">
        <v>61.07</v>
      </c>
      <c r="J9" s="36">
        <v>69.56</v>
      </c>
      <c r="K9" s="36">
        <v>35.9</v>
      </c>
      <c r="L9" s="36">
        <v>44.25</v>
      </c>
      <c r="M9" s="36">
        <v>48.56</v>
      </c>
      <c r="N9" s="36">
        <f t="shared" si="2"/>
        <v>12</v>
      </c>
      <c r="O9" s="36">
        <f t="shared" si="2"/>
        <v>0.1</v>
      </c>
      <c r="P9" s="36">
        <f t="shared" si="2"/>
        <v>9.5</v>
      </c>
      <c r="Q9" s="36">
        <f t="shared" si="2"/>
        <v>0.89</v>
      </c>
      <c r="R9" s="36">
        <f t="shared" si="2"/>
        <v>10</v>
      </c>
      <c r="S9" s="36">
        <f t="shared" si="2"/>
        <v>40</v>
      </c>
      <c r="T9" s="36">
        <f t="shared" si="2"/>
        <v>2080</v>
      </c>
      <c r="U9" s="36">
        <f t="shared" si="2"/>
        <v>2080</v>
      </c>
      <c r="V9" s="36">
        <f t="shared" si="2"/>
        <v>2080</v>
      </c>
      <c r="W9" s="36">
        <f t="shared" si="2"/>
        <v>2080</v>
      </c>
      <c r="X9" s="36">
        <f t="shared" si="2"/>
        <v>2080</v>
      </c>
      <c r="Y9" s="36">
        <f t="shared" si="2"/>
        <v>2080</v>
      </c>
      <c r="Z9" s="36">
        <f t="shared" si="2"/>
        <v>2080</v>
      </c>
      <c r="AA9" s="36">
        <f t="shared" si="2"/>
        <v>260</v>
      </c>
    </row>
    <row r="10" spans="1:27">
      <c r="A10" s="34" t="s">
        <v>165</v>
      </c>
      <c r="B10" s="34" t="s">
        <v>171</v>
      </c>
      <c r="C10" s="34" t="s">
        <v>381</v>
      </c>
      <c r="D10" s="34" t="str">
        <f t="shared" si="0"/>
        <v>A3min</v>
      </c>
      <c r="E10" s="35" t="s">
        <v>177</v>
      </c>
      <c r="F10" s="36">
        <v>12.27</v>
      </c>
      <c r="G10" s="36">
        <v>24.95</v>
      </c>
      <c r="H10" s="36">
        <v>0</v>
      </c>
      <c r="I10" s="36">
        <v>0</v>
      </c>
      <c r="J10" s="36">
        <v>0</v>
      </c>
      <c r="K10" s="36">
        <v>31.57</v>
      </c>
      <c r="L10" s="36">
        <v>38.54</v>
      </c>
      <c r="M10" s="36">
        <v>42.38</v>
      </c>
      <c r="N10" s="36">
        <v>12</v>
      </c>
      <c r="O10" s="36">
        <v>0.09</v>
      </c>
      <c r="P10" s="36">
        <v>2</v>
      </c>
      <c r="Q10" s="36">
        <v>4.16</v>
      </c>
      <c r="R10" s="36">
        <v>10</v>
      </c>
      <c r="S10" s="36">
        <v>168</v>
      </c>
      <c r="T10" s="36">
        <v>8760</v>
      </c>
      <c r="U10" s="36">
        <v>3379</v>
      </c>
      <c r="V10" s="36">
        <v>4198</v>
      </c>
      <c r="W10" s="36">
        <v>4538</v>
      </c>
      <c r="X10" s="36">
        <v>3379</v>
      </c>
      <c r="Y10" s="36">
        <v>4198</v>
      </c>
      <c r="Z10" s="36">
        <v>4538</v>
      </c>
      <c r="AA10" s="36">
        <v>365</v>
      </c>
    </row>
    <row r="11" spans="1:27">
      <c r="A11" s="34" t="s">
        <v>165</v>
      </c>
      <c r="B11" s="34" t="s">
        <v>171</v>
      </c>
      <c r="C11" s="34" t="s">
        <v>382</v>
      </c>
      <c r="D11" s="34" t="str">
        <f t="shared" si="0"/>
        <v>A3m</v>
      </c>
      <c r="E11" s="35" t="s">
        <v>177</v>
      </c>
      <c r="F11" s="36">
        <v>12.27</v>
      </c>
      <c r="G11" s="36">
        <v>49.96</v>
      </c>
      <c r="H11" s="36">
        <v>0</v>
      </c>
      <c r="I11" s="36">
        <v>0</v>
      </c>
      <c r="J11" s="36">
        <v>0</v>
      </c>
      <c r="K11" s="36">
        <v>37.619999999999997</v>
      </c>
      <c r="L11" s="36">
        <v>45.85</v>
      </c>
      <c r="M11" s="36">
        <v>50.87</v>
      </c>
      <c r="N11" s="36">
        <f t="shared" ref="N11:AA12" si="3">N10</f>
        <v>12</v>
      </c>
      <c r="O11" s="36">
        <f t="shared" si="3"/>
        <v>0.09</v>
      </c>
      <c r="P11" s="36">
        <f t="shared" si="3"/>
        <v>2</v>
      </c>
      <c r="Q11" s="36">
        <f t="shared" si="3"/>
        <v>4.16</v>
      </c>
      <c r="R11" s="36">
        <f t="shared" si="3"/>
        <v>10</v>
      </c>
      <c r="S11" s="36">
        <f t="shared" si="3"/>
        <v>168</v>
      </c>
      <c r="T11" s="36">
        <f t="shared" si="3"/>
        <v>8760</v>
      </c>
      <c r="U11" s="36">
        <f t="shared" si="3"/>
        <v>3379</v>
      </c>
      <c r="V11" s="36">
        <f t="shared" si="3"/>
        <v>4198</v>
      </c>
      <c r="W11" s="36">
        <f t="shared" si="3"/>
        <v>4538</v>
      </c>
      <c r="X11" s="36">
        <f t="shared" si="3"/>
        <v>3379</v>
      </c>
      <c r="Y11" s="36">
        <f t="shared" si="3"/>
        <v>4198</v>
      </c>
      <c r="Z11" s="36">
        <f t="shared" si="3"/>
        <v>4538</v>
      </c>
      <c r="AA11" s="36">
        <f t="shared" si="3"/>
        <v>365</v>
      </c>
    </row>
    <row r="12" spans="1:27">
      <c r="A12" s="34" t="s">
        <v>165</v>
      </c>
      <c r="B12" s="34" t="s">
        <v>171</v>
      </c>
      <c r="C12" s="34" t="s">
        <v>383</v>
      </c>
      <c r="D12" s="34" t="str">
        <f t="shared" si="0"/>
        <v>A3max</v>
      </c>
      <c r="E12" s="35" t="s">
        <v>177</v>
      </c>
      <c r="F12" s="36">
        <v>12.27</v>
      </c>
      <c r="G12" s="36">
        <v>83.17</v>
      </c>
      <c r="H12" s="36">
        <v>0</v>
      </c>
      <c r="I12" s="36">
        <v>0</v>
      </c>
      <c r="J12" s="36">
        <v>0</v>
      </c>
      <c r="K12" s="36">
        <v>92.53</v>
      </c>
      <c r="L12" s="36">
        <v>112.35</v>
      </c>
      <c r="M12" s="36">
        <v>126.67</v>
      </c>
      <c r="N12" s="36">
        <f t="shared" si="3"/>
        <v>12</v>
      </c>
      <c r="O12" s="36">
        <f t="shared" si="3"/>
        <v>0.09</v>
      </c>
      <c r="P12" s="36">
        <f t="shared" si="3"/>
        <v>2</v>
      </c>
      <c r="Q12" s="36">
        <f t="shared" si="3"/>
        <v>4.16</v>
      </c>
      <c r="R12" s="36">
        <f t="shared" si="3"/>
        <v>10</v>
      </c>
      <c r="S12" s="36">
        <f t="shared" si="3"/>
        <v>168</v>
      </c>
      <c r="T12" s="36">
        <f t="shared" si="3"/>
        <v>8760</v>
      </c>
      <c r="U12" s="36">
        <f t="shared" si="3"/>
        <v>3379</v>
      </c>
      <c r="V12" s="36">
        <f t="shared" si="3"/>
        <v>4198</v>
      </c>
      <c r="W12" s="36">
        <f t="shared" si="3"/>
        <v>4538</v>
      </c>
      <c r="X12" s="36">
        <f t="shared" si="3"/>
        <v>3379</v>
      </c>
      <c r="Y12" s="36">
        <f t="shared" si="3"/>
        <v>4198</v>
      </c>
      <c r="Z12" s="36">
        <f t="shared" si="3"/>
        <v>4538</v>
      </c>
      <c r="AA12" s="36">
        <f t="shared" si="3"/>
        <v>365</v>
      </c>
    </row>
    <row r="13" spans="1:27">
      <c r="A13" s="34" t="s">
        <v>165</v>
      </c>
      <c r="B13" s="34" t="s">
        <v>172</v>
      </c>
      <c r="C13" s="34" t="s">
        <v>381</v>
      </c>
      <c r="D13" s="34" t="str">
        <f t="shared" si="0"/>
        <v>A4min</v>
      </c>
      <c r="E13" s="35" t="s">
        <v>178</v>
      </c>
      <c r="F13" s="36">
        <v>12.41</v>
      </c>
      <c r="G13" s="36">
        <v>20.100000000000001</v>
      </c>
      <c r="H13" s="36">
        <v>0</v>
      </c>
      <c r="I13" s="36">
        <v>0</v>
      </c>
      <c r="J13" s="36">
        <v>0</v>
      </c>
      <c r="K13" s="36">
        <v>36.799999999999997</v>
      </c>
      <c r="L13" s="36">
        <v>53.3</v>
      </c>
      <c r="M13" s="36">
        <v>61.8</v>
      </c>
      <c r="N13" s="36">
        <v>12</v>
      </c>
      <c r="O13" s="36">
        <v>0.17</v>
      </c>
      <c r="P13" s="36">
        <v>4</v>
      </c>
      <c r="Q13" s="36">
        <v>5.58</v>
      </c>
      <c r="R13" s="36">
        <v>10</v>
      </c>
      <c r="S13" s="36">
        <v>116</v>
      </c>
      <c r="T13" s="36">
        <v>6043</v>
      </c>
      <c r="U13" s="36">
        <v>1704</v>
      </c>
      <c r="V13" s="36">
        <v>2504</v>
      </c>
      <c r="W13" s="36">
        <v>2816</v>
      </c>
      <c r="X13" s="36">
        <v>1704</v>
      </c>
      <c r="Y13" s="36">
        <v>2504</v>
      </c>
      <c r="Z13" s="36">
        <v>2816</v>
      </c>
      <c r="AA13" s="36">
        <v>245</v>
      </c>
    </row>
    <row r="14" spans="1:27">
      <c r="A14" s="34" t="s">
        <v>165</v>
      </c>
      <c r="B14" s="34" t="s">
        <v>172</v>
      </c>
      <c r="C14" s="34" t="s">
        <v>382</v>
      </c>
      <c r="D14" s="34" t="str">
        <f t="shared" si="0"/>
        <v>A4m</v>
      </c>
      <c r="E14" s="35" t="s">
        <v>178</v>
      </c>
      <c r="F14" s="36">
        <v>12.41</v>
      </c>
      <c r="G14" s="36">
        <v>40.1</v>
      </c>
      <c r="H14" s="36">
        <v>0</v>
      </c>
      <c r="I14" s="36">
        <v>0</v>
      </c>
      <c r="J14" s="36">
        <v>0</v>
      </c>
      <c r="K14" s="36">
        <v>47.1</v>
      </c>
      <c r="L14" s="36">
        <v>68.599999999999994</v>
      </c>
      <c r="M14" s="36">
        <v>80.099999999999994</v>
      </c>
      <c r="N14" s="36">
        <f t="shared" ref="N14:AA15" si="4">N13</f>
        <v>12</v>
      </c>
      <c r="O14" s="36">
        <f t="shared" si="4"/>
        <v>0.17</v>
      </c>
      <c r="P14" s="36">
        <f t="shared" si="4"/>
        <v>4</v>
      </c>
      <c r="Q14" s="36">
        <f t="shared" si="4"/>
        <v>5.58</v>
      </c>
      <c r="R14" s="36">
        <f t="shared" si="4"/>
        <v>10</v>
      </c>
      <c r="S14" s="36">
        <f t="shared" si="4"/>
        <v>116</v>
      </c>
      <c r="T14" s="36">
        <f t="shared" si="4"/>
        <v>6043</v>
      </c>
      <c r="U14" s="36">
        <f t="shared" si="4"/>
        <v>1704</v>
      </c>
      <c r="V14" s="36">
        <f t="shared" si="4"/>
        <v>2504</v>
      </c>
      <c r="W14" s="36">
        <f t="shared" si="4"/>
        <v>2816</v>
      </c>
      <c r="X14" s="36">
        <f t="shared" si="4"/>
        <v>1704</v>
      </c>
      <c r="Y14" s="36">
        <f t="shared" si="4"/>
        <v>2504</v>
      </c>
      <c r="Z14" s="36">
        <f t="shared" si="4"/>
        <v>2816</v>
      </c>
      <c r="AA14" s="36">
        <f t="shared" si="4"/>
        <v>245</v>
      </c>
    </row>
    <row r="15" spans="1:27">
      <c r="A15" s="34" t="s">
        <v>165</v>
      </c>
      <c r="B15" s="34" t="s">
        <v>172</v>
      </c>
      <c r="C15" s="34" t="s">
        <v>383</v>
      </c>
      <c r="D15" s="34" t="str">
        <f t="shared" si="0"/>
        <v>A4max</v>
      </c>
      <c r="E15" s="35" t="s">
        <v>178</v>
      </c>
      <c r="F15" s="36">
        <v>12.41</v>
      </c>
      <c r="G15" s="36">
        <v>66.900000000000006</v>
      </c>
      <c r="H15" s="36">
        <v>0</v>
      </c>
      <c r="I15" s="36">
        <v>0</v>
      </c>
      <c r="J15" s="36">
        <v>0</v>
      </c>
      <c r="K15" s="36">
        <v>62.5</v>
      </c>
      <c r="L15" s="36">
        <v>91.2</v>
      </c>
      <c r="M15" s="36">
        <v>106.5</v>
      </c>
      <c r="N15" s="36">
        <f t="shared" si="4"/>
        <v>12</v>
      </c>
      <c r="O15" s="36">
        <f t="shared" si="4"/>
        <v>0.17</v>
      </c>
      <c r="P15" s="36">
        <f t="shared" si="4"/>
        <v>4</v>
      </c>
      <c r="Q15" s="36">
        <f t="shared" si="4"/>
        <v>5.58</v>
      </c>
      <c r="R15" s="36">
        <f t="shared" si="4"/>
        <v>10</v>
      </c>
      <c r="S15" s="36">
        <f t="shared" si="4"/>
        <v>116</v>
      </c>
      <c r="T15" s="36">
        <f t="shared" si="4"/>
        <v>6043</v>
      </c>
      <c r="U15" s="36">
        <f t="shared" si="4"/>
        <v>1704</v>
      </c>
      <c r="V15" s="36">
        <f t="shared" si="4"/>
        <v>2504</v>
      </c>
      <c r="W15" s="36">
        <f t="shared" si="4"/>
        <v>2816</v>
      </c>
      <c r="X15" s="36">
        <f t="shared" si="4"/>
        <v>1704</v>
      </c>
      <c r="Y15" s="36">
        <f t="shared" si="4"/>
        <v>2504</v>
      </c>
      <c r="Z15" s="36">
        <f t="shared" si="4"/>
        <v>2816</v>
      </c>
      <c r="AA15" s="36">
        <f t="shared" si="4"/>
        <v>245</v>
      </c>
    </row>
    <row r="16" spans="1:27">
      <c r="A16" s="34" t="s">
        <v>165</v>
      </c>
      <c r="B16" s="34" t="s">
        <v>173</v>
      </c>
      <c r="C16" s="34" t="s">
        <v>381</v>
      </c>
      <c r="D16" s="34" t="str">
        <f t="shared" si="0"/>
        <v>A5min</v>
      </c>
      <c r="E16" s="35" t="s">
        <v>174</v>
      </c>
      <c r="F16" s="36">
        <v>5.6</v>
      </c>
      <c r="G16" s="36">
        <v>6.59</v>
      </c>
      <c r="H16" s="36">
        <v>0</v>
      </c>
      <c r="I16" s="36">
        <v>0</v>
      </c>
      <c r="J16" s="36">
        <v>0</v>
      </c>
      <c r="K16" s="36">
        <v>24.03</v>
      </c>
      <c r="L16" s="36">
        <v>26.04</v>
      </c>
      <c r="M16" s="36">
        <v>33.909999999999997</v>
      </c>
      <c r="N16" s="36">
        <v>9</v>
      </c>
      <c r="O16" s="36">
        <v>0.1</v>
      </c>
      <c r="P16" s="36">
        <v>4</v>
      </c>
      <c r="Q16" s="36" t="s">
        <v>370</v>
      </c>
      <c r="R16" s="36">
        <v>10</v>
      </c>
      <c r="S16" s="36">
        <v>168</v>
      </c>
      <c r="T16" s="36">
        <v>8760</v>
      </c>
      <c r="U16" s="36">
        <v>3496</v>
      </c>
      <c r="V16" s="36">
        <v>4066</v>
      </c>
      <c r="W16" s="36">
        <v>4636</v>
      </c>
      <c r="X16" s="36">
        <v>3496</v>
      </c>
      <c r="Y16" s="36">
        <v>4066</v>
      </c>
      <c r="Z16" s="36">
        <v>4636</v>
      </c>
      <c r="AA16" s="36">
        <v>0</v>
      </c>
    </row>
    <row r="17" spans="1:28">
      <c r="A17" s="34" t="s">
        <v>165</v>
      </c>
      <c r="B17" s="34" t="s">
        <v>173</v>
      </c>
      <c r="C17" s="34" t="s">
        <v>382</v>
      </c>
      <c r="D17" s="34" t="str">
        <f t="shared" si="0"/>
        <v>A5m</v>
      </c>
      <c r="E17" s="35" t="s">
        <v>174</v>
      </c>
      <c r="F17" s="36">
        <v>5.6</v>
      </c>
      <c r="G17" s="36">
        <v>13.98</v>
      </c>
      <c r="H17" s="36">
        <v>0</v>
      </c>
      <c r="I17" s="36">
        <v>0</v>
      </c>
      <c r="J17" s="36">
        <v>0</v>
      </c>
      <c r="K17" s="36">
        <v>37.86</v>
      </c>
      <c r="L17" s="36">
        <v>41.2</v>
      </c>
      <c r="M17" s="36">
        <v>53.59</v>
      </c>
      <c r="N17" s="36">
        <f t="shared" ref="N17:AA18" si="5">N16</f>
        <v>9</v>
      </c>
      <c r="O17" s="36">
        <f t="shared" si="5"/>
        <v>0.1</v>
      </c>
      <c r="P17" s="36">
        <f t="shared" si="5"/>
        <v>4</v>
      </c>
      <c r="Q17" s="36" t="str">
        <f t="shared" si="5"/>
        <v>75/間</v>
      </c>
      <c r="R17" s="36">
        <f t="shared" si="5"/>
        <v>10</v>
      </c>
      <c r="S17" s="36">
        <f t="shared" si="5"/>
        <v>168</v>
      </c>
      <c r="T17" s="36">
        <f t="shared" si="5"/>
        <v>8760</v>
      </c>
      <c r="U17" s="36">
        <f t="shared" si="5"/>
        <v>3496</v>
      </c>
      <c r="V17" s="36">
        <f t="shared" si="5"/>
        <v>4066</v>
      </c>
      <c r="W17" s="36">
        <f t="shared" si="5"/>
        <v>4636</v>
      </c>
      <c r="X17" s="36">
        <f t="shared" si="5"/>
        <v>3496</v>
      </c>
      <c r="Y17" s="36">
        <f t="shared" si="5"/>
        <v>4066</v>
      </c>
      <c r="Z17" s="36">
        <f t="shared" si="5"/>
        <v>4636</v>
      </c>
      <c r="AA17" s="36">
        <f t="shared" si="5"/>
        <v>0</v>
      </c>
    </row>
    <row r="18" spans="1:28">
      <c r="A18" s="34" t="s">
        <v>165</v>
      </c>
      <c r="B18" s="34" t="s">
        <v>173</v>
      </c>
      <c r="C18" s="34" t="s">
        <v>383</v>
      </c>
      <c r="D18" s="34" t="str">
        <f t="shared" si="0"/>
        <v>A5max</v>
      </c>
      <c r="E18" s="35" t="s">
        <v>174</v>
      </c>
      <c r="F18" s="36">
        <v>5.6</v>
      </c>
      <c r="G18" s="36">
        <v>29.67</v>
      </c>
      <c r="H18" s="36">
        <v>0</v>
      </c>
      <c r="I18" s="36">
        <v>0</v>
      </c>
      <c r="J18" s="36">
        <v>0</v>
      </c>
      <c r="K18" s="36">
        <v>52.84</v>
      </c>
      <c r="L18" s="36">
        <v>58.75</v>
      </c>
      <c r="M18" s="36">
        <v>75.88</v>
      </c>
      <c r="N18" s="36">
        <f t="shared" si="5"/>
        <v>9</v>
      </c>
      <c r="O18" s="36">
        <f t="shared" si="5"/>
        <v>0.1</v>
      </c>
      <c r="P18" s="36">
        <f t="shared" si="5"/>
        <v>4</v>
      </c>
      <c r="Q18" s="36" t="str">
        <f t="shared" si="5"/>
        <v>75/間</v>
      </c>
      <c r="R18" s="36">
        <f t="shared" si="5"/>
        <v>10</v>
      </c>
      <c r="S18" s="36">
        <f t="shared" si="5"/>
        <v>168</v>
      </c>
      <c r="T18" s="36">
        <f t="shared" si="5"/>
        <v>8760</v>
      </c>
      <c r="U18" s="36">
        <f t="shared" si="5"/>
        <v>3496</v>
      </c>
      <c r="V18" s="36">
        <f t="shared" si="5"/>
        <v>4066</v>
      </c>
      <c r="W18" s="36">
        <f t="shared" si="5"/>
        <v>4636</v>
      </c>
      <c r="X18" s="36">
        <f t="shared" si="5"/>
        <v>3496</v>
      </c>
      <c r="Y18" s="36">
        <f t="shared" si="5"/>
        <v>4066</v>
      </c>
      <c r="Z18" s="36">
        <f t="shared" si="5"/>
        <v>4636</v>
      </c>
      <c r="AA18" s="36">
        <f t="shared" si="5"/>
        <v>0</v>
      </c>
    </row>
    <row r="19" spans="1:28">
      <c r="A19" s="34" t="s">
        <v>180</v>
      </c>
      <c r="B19" s="34" t="s">
        <v>181</v>
      </c>
      <c r="C19" s="34" t="s">
        <v>381</v>
      </c>
      <c r="D19" s="34" t="str">
        <f t="shared" si="0"/>
        <v>B1min</v>
      </c>
      <c r="E19" s="35" t="s">
        <v>185</v>
      </c>
      <c r="F19" s="36">
        <v>39.94</v>
      </c>
      <c r="G19" s="36">
        <v>26</v>
      </c>
      <c r="H19" s="36">
        <v>46.7</v>
      </c>
      <c r="I19" s="36">
        <v>49.09</v>
      </c>
      <c r="J19" s="36">
        <v>55.96</v>
      </c>
      <c r="K19" s="36">
        <v>35.26</v>
      </c>
      <c r="L19" s="36">
        <v>37.25</v>
      </c>
      <c r="M19" s="36">
        <v>48.83</v>
      </c>
      <c r="N19" s="36">
        <v>15</v>
      </c>
      <c r="O19" s="36">
        <v>0.2</v>
      </c>
      <c r="P19" s="36">
        <v>18</v>
      </c>
      <c r="Q19" s="36">
        <v>2.5499999999999998</v>
      </c>
      <c r="R19" s="36">
        <v>15</v>
      </c>
      <c r="S19" s="36">
        <v>55</v>
      </c>
      <c r="T19" s="36">
        <v>2750</v>
      </c>
      <c r="U19" s="36">
        <v>2750</v>
      </c>
      <c r="V19" s="36">
        <v>2750</v>
      </c>
      <c r="W19" s="36">
        <v>2750</v>
      </c>
      <c r="X19" s="36">
        <v>1639</v>
      </c>
      <c r="Y19" s="36">
        <v>1727</v>
      </c>
      <c r="Z19" s="36">
        <v>2211</v>
      </c>
      <c r="AA19" s="36">
        <v>250</v>
      </c>
    </row>
    <row r="20" spans="1:28">
      <c r="A20" s="34" t="s">
        <v>180</v>
      </c>
      <c r="B20" s="34" t="s">
        <v>181</v>
      </c>
      <c r="C20" s="34" t="s">
        <v>382</v>
      </c>
      <c r="D20" s="34" t="str">
        <f t="shared" si="0"/>
        <v>B1m</v>
      </c>
      <c r="E20" s="35" t="str">
        <f t="shared" ref="E20:E21" si="6">E19</f>
        <v>企業商辦大樓(五都主要商圈、中央空調、大銀行或大國際品牌企業進駐、大廳有大訪客休息</v>
      </c>
      <c r="F20" s="36">
        <f t="shared" ref="F20:F21" si="7">F19</f>
        <v>39.94</v>
      </c>
      <c r="G20" s="36">
        <v>38.51</v>
      </c>
      <c r="H20" s="36">
        <v>64.72</v>
      </c>
      <c r="I20" s="36">
        <v>70.010000000000005</v>
      </c>
      <c r="J20" s="36">
        <v>79.959999999999994</v>
      </c>
      <c r="K20" s="36">
        <v>49.66</v>
      </c>
      <c r="L20" s="36">
        <v>53.46</v>
      </c>
      <c r="M20" s="36">
        <v>69.760000000000005</v>
      </c>
      <c r="N20" s="36">
        <f t="shared" ref="N20:AA21" si="8">N19</f>
        <v>15</v>
      </c>
      <c r="O20" s="36">
        <f t="shared" si="8"/>
        <v>0.2</v>
      </c>
      <c r="P20" s="36">
        <f t="shared" si="8"/>
        <v>18</v>
      </c>
      <c r="Q20" s="36">
        <f t="shared" si="8"/>
        <v>2.5499999999999998</v>
      </c>
      <c r="R20" s="36">
        <f t="shared" si="8"/>
        <v>15</v>
      </c>
      <c r="S20" s="36">
        <f t="shared" si="8"/>
        <v>55</v>
      </c>
      <c r="T20" s="36">
        <f t="shared" si="8"/>
        <v>2750</v>
      </c>
      <c r="U20" s="36">
        <f t="shared" si="8"/>
        <v>2750</v>
      </c>
      <c r="V20" s="36">
        <f t="shared" si="8"/>
        <v>2750</v>
      </c>
      <c r="W20" s="36">
        <f t="shared" si="8"/>
        <v>2750</v>
      </c>
      <c r="X20" s="36">
        <f t="shared" si="8"/>
        <v>1639</v>
      </c>
      <c r="Y20" s="36">
        <f t="shared" si="8"/>
        <v>1727</v>
      </c>
      <c r="Z20" s="36">
        <f t="shared" si="8"/>
        <v>2211</v>
      </c>
      <c r="AA20" s="36">
        <f t="shared" si="8"/>
        <v>250</v>
      </c>
    </row>
    <row r="21" spans="1:28">
      <c r="A21" s="34" t="s">
        <v>180</v>
      </c>
      <c r="B21" s="34" t="s">
        <v>181</v>
      </c>
      <c r="C21" s="34" t="s">
        <v>383</v>
      </c>
      <c r="D21" s="34" t="str">
        <f t="shared" si="0"/>
        <v>B1max</v>
      </c>
      <c r="E21" s="35" t="str">
        <f t="shared" si="6"/>
        <v>企業商辦大樓(五都主要商圈、中央空調、大銀行或大國際品牌企業進駐、大廳有大訪客休息</v>
      </c>
      <c r="F21" s="36">
        <f t="shared" si="7"/>
        <v>39.94</v>
      </c>
      <c r="G21" s="36">
        <v>65.28</v>
      </c>
      <c r="H21" s="36">
        <v>90.74</v>
      </c>
      <c r="I21" s="36">
        <v>99.38</v>
      </c>
      <c r="J21" s="36">
        <v>112.79</v>
      </c>
      <c r="K21" s="36">
        <v>69.8</v>
      </c>
      <c r="L21" s="36">
        <v>75.650000000000006</v>
      </c>
      <c r="M21" s="36">
        <v>98.12</v>
      </c>
      <c r="N21" s="36">
        <f t="shared" si="8"/>
        <v>15</v>
      </c>
      <c r="O21" s="36">
        <f t="shared" si="8"/>
        <v>0.2</v>
      </c>
      <c r="P21" s="36">
        <f t="shared" si="8"/>
        <v>18</v>
      </c>
      <c r="Q21" s="36">
        <f t="shared" si="8"/>
        <v>2.5499999999999998</v>
      </c>
      <c r="R21" s="36">
        <f t="shared" si="8"/>
        <v>15</v>
      </c>
      <c r="S21" s="36">
        <f t="shared" si="8"/>
        <v>55</v>
      </c>
      <c r="T21" s="36">
        <f t="shared" si="8"/>
        <v>2750</v>
      </c>
      <c r="U21" s="36">
        <f t="shared" si="8"/>
        <v>2750</v>
      </c>
      <c r="V21" s="36">
        <f t="shared" si="8"/>
        <v>2750</v>
      </c>
      <c r="W21" s="36">
        <f t="shared" si="8"/>
        <v>2750</v>
      </c>
      <c r="X21" s="36">
        <f t="shared" si="8"/>
        <v>1639</v>
      </c>
      <c r="Y21" s="36">
        <f t="shared" si="8"/>
        <v>1727</v>
      </c>
      <c r="Z21" s="36">
        <f t="shared" si="8"/>
        <v>2211</v>
      </c>
      <c r="AA21" s="36">
        <f t="shared" si="8"/>
        <v>250</v>
      </c>
    </row>
    <row r="22" spans="1:28">
      <c r="A22" s="34" t="s">
        <v>180</v>
      </c>
      <c r="B22" s="34" t="s">
        <v>182</v>
      </c>
      <c r="C22" s="34" t="s">
        <v>381</v>
      </c>
      <c r="D22" s="34" t="str">
        <f t="shared" si="0"/>
        <v>B2min</v>
      </c>
      <c r="E22" s="35" t="s">
        <v>186</v>
      </c>
      <c r="F22" s="36">
        <v>1.65</v>
      </c>
      <c r="G22" s="36">
        <v>16.77</v>
      </c>
      <c r="H22" s="36">
        <v>14.67</v>
      </c>
      <c r="I22" s="36">
        <v>16.07</v>
      </c>
      <c r="J22" s="36">
        <v>17.670000000000002</v>
      </c>
      <c r="K22" s="36">
        <v>10.78</v>
      </c>
      <c r="L22" s="36">
        <v>11.91</v>
      </c>
      <c r="M22" s="36">
        <v>15.27</v>
      </c>
      <c r="N22" s="36">
        <v>10</v>
      </c>
      <c r="O22" s="36">
        <v>0.03</v>
      </c>
      <c r="P22" s="36">
        <v>0</v>
      </c>
      <c r="Q22" s="36">
        <v>0</v>
      </c>
      <c r="R22" s="36">
        <v>15</v>
      </c>
      <c r="S22" s="36">
        <v>55</v>
      </c>
      <c r="T22" s="36">
        <v>2750</v>
      </c>
      <c r="U22" s="36">
        <v>2750</v>
      </c>
      <c r="V22" s="36">
        <v>2750</v>
      </c>
      <c r="W22" s="36">
        <v>2750</v>
      </c>
      <c r="X22" s="36">
        <v>1639</v>
      </c>
      <c r="Y22" s="36">
        <v>1727</v>
      </c>
      <c r="Z22" s="36">
        <v>2211</v>
      </c>
      <c r="AA22" s="36">
        <v>250</v>
      </c>
    </row>
    <row r="23" spans="1:28">
      <c r="A23" s="34" t="s">
        <v>180</v>
      </c>
      <c r="B23" s="34" t="s">
        <v>182</v>
      </c>
      <c r="C23" s="34" t="s">
        <v>382</v>
      </c>
      <c r="D23" s="34" t="str">
        <f t="shared" si="0"/>
        <v>B2m</v>
      </c>
      <c r="E23" s="35" t="str">
        <f t="shared" ref="E23:E24" si="9">E22</f>
        <v>企業商辯大樓專用大廳或專用走廊休息區等次空間</v>
      </c>
      <c r="F23" s="36">
        <f t="shared" ref="F23:F24" si="10">F22</f>
        <v>1.65</v>
      </c>
      <c r="G23" s="36">
        <v>21.03</v>
      </c>
      <c r="H23" s="36">
        <v>19.05</v>
      </c>
      <c r="I23" s="36">
        <v>22.5</v>
      </c>
      <c r="J23" s="36">
        <v>23.9</v>
      </c>
      <c r="K23" s="36">
        <v>14.42</v>
      </c>
      <c r="L23" s="36">
        <v>16.84</v>
      </c>
      <c r="M23" s="36">
        <v>20.72</v>
      </c>
      <c r="N23" s="36">
        <f t="shared" ref="N23:AA24" si="11">N22</f>
        <v>10</v>
      </c>
      <c r="O23" s="36">
        <f t="shared" si="11"/>
        <v>0.03</v>
      </c>
      <c r="P23" s="36">
        <f t="shared" si="11"/>
        <v>0</v>
      </c>
      <c r="Q23" s="36">
        <f t="shared" si="11"/>
        <v>0</v>
      </c>
      <c r="R23" s="36">
        <f t="shared" si="11"/>
        <v>15</v>
      </c>
      <c r="S23" s="36">
        <f t="shared" si="11"/>
        <v>55</v>
      </c>
      <c r="T23" s="36">
        <f t="shared" si="11"/>
        <v>2750</v>
      </c>
      <c r="U23" s="36">
        <f t="shared" si="11"/>
        <v>2750</v>
      </c>
      <c r="V23" s="36">
        <f t="shared" si="11"/>
        <v>2750</v>
      </c>
      <c r="W23" s="36">
        <f t="shared" si="11"/>
        <v>2750</v>
      </c>
      <c r="X23" s="36">
        <f t="shared" si="11"/>
        <v>1639</v>
      </c>
      <c r="Y23" s="36">
        <f t="shared" si="11"/>
        <v>1727</v>
      </c>
      <c r="Z23" s="36">
        <f t="shared" si="11"/>
        <v>2211</v>
      </c>
      <c r="AA23" s="36">
        <f t="shared" si="11"/>
        <v>250</v>
      </c>
    </row>
    <row r="24" spans="1:28">
      <c r="A24" s="34" t="s">
        <v>180</v>
      </c>
      <c r="B24" s="34" t="s">
        <v>182</v>
      </c>
      <c r="C24" s="34" t="s">
        <v>383</v>
      </c>
      <c r="D24" s="34" t="str">
        <f t="shared" si="0"/>
        <v>B2max</v>
      </c>
      <c r="E24" s="35" t="str">
        <f t="shared" si="9"/>
        <v>企業商辯大樓專用大廳或專用走廊休息區等次空間</v>
      </c>
      <c r="F24" s="36">
        <f t="shared" si="10"/>
        <v>1.65</v>
      </c>
      <c r="G24" s="36">
        <v>42.06</v>
      </c>
      <c r="H24" s="36">
        <v>29.36</v>
      </c>
      <c r="I24" s="36">
        <v>35.19</v>
      </c>
      <c r="J24" s="36">
        <v>36.44</v>
      </c>
      <c r="K24" s="36">
        <v>22.18</v>
      </c>
      <c r="L24" s="36">
        <v>26.17</v>
      </c>
      <c r="M24" s="36">
        <v>31.41</v>
      </c>
      <c r="N24" s="36">
        <f t="shared" si="11"/>
        <v>10</v>
      </c>
      <c r="O24" s="36">
        <f t="shared" si="11"/>
        <v>0.03</v>
      </c>
      <c r="P24" s="36">
        <f t="shared" si="11"/>
        <v>0</v>
      </c>
      <c r="Q24" s="36">
        <f t="shared" si="11"/>
        <v>0</v>
      </c>
      <c r="R24" s="36">
        <f t="shared" si="11"/>
        <v>15</v>
      </c>
      <c r="S24" s="36">
        <f t="shared" si="11"/>
        <v>55</v>
      </c>
      <c r="T24" s="36">
        <f t="shared" si="11"/>
        <v>2750</v>
      </c>
      <c r="U24" s="36">
        <f t="shared" si="11"/>
        <v>2750</v>
      </c>
      <c r="V24" s="36">
        <f t="shared" si="11"/>
        <v>2750</v>
      </c>
      <c r="W24" s="36">
        <f t="shared" si="11"/>
        <v>2750</v>
      </c>
      <c r="X24" s="36">
        <f t="shared" si="11"/>
        <v>1639</v>
      </c>
      <c r="Y24" s="36">
        <f t="shared" si="11"/>
        <v>1727</v>
      </c>
      <c r="Z24" s="36">
        <f t="shared" si="11"/>
        <v>2211</v>
      </c>
      <c r="AA24" s="36">
        <f t="shared" si="11"/>
        <v>250</v>
      </c>
    </row>
    <row r="25" spans="1:28">
      <c r="A25" s="34" t="s">
        <v>180</v>
      </c>
      <c r="B25" s="34" t="s">
        <v>183</v>
      </c>
      <c r="C25" s="34" t="s">
        <v>381</v>
      </c>
      <c r="D25" s="34" t="str">
        <f t="shared" si="0"/>
        <v>B3min</v>
      </c>
      <c r="E25" s="35" t="s">
        <v>188</v>
      </c>
      <c r="F25" s="36">
        <v>16.93</v>
      </c>
      <c r="G25" s="36">
        <v>15.86</v>
      </c>
      <c r="H25" s="36">
        <v>30.66</v>
      </c>
      <c r="I25" s="36">
        <v>34.22</v>
      </c>
      <c r="J25" s="36">
        <v>36.57</v>
      </c>
      <c r="K25" s="36">
        <v>22.36</v>
      </c>
      <c r="L25" s="36">
        <v>24.78</v>
      </c>
      <c r="M25" s="36">
        <v>31.19</v>
      </c>
      <c r="N25" s="36">
        <v>15</v>
      </c>
      <c r="O25" s="36">
        <v>0.15</v>
      </c>
      <c r="P25" s="36">
        <v>12</v>
      </c>
      <c r="Q25" s="36">
        <v>1.8</v>
      </c>
      <c r="R25" s="36">
        <v>10</v>
      </c>
      <c r="S25" s="36">
        <v>50</v>
      </c>
      <c r="T25" s="36">
        <v>2500</v>
      </c>
      <c r="U25" s="36">
        <v>2500</v>
      </c>
      <c r="V25" s="36">
        <v>2500</v>
      </c>
      <c r="W25" s="36">
        <v>2500</v>
      </c>
      <c r="X25" s="36">
        <v>1490</v>
      </c>
      <c r="Y25" s="36">
        <v>1570</v>
      </c>
      <c r="Z25" s="36">
        <v>2010</v>
      </c>
      <c r="AA25" s="36">
        <v>250</v>
      </c>
      <c r="AB25" s="29"/>
    </row>
    <row r="26" spans="1:28">
      <c r="A26" s="34" t="s">
        <v>180</v>
      </c>
      <c r="B26" s="34" t="str">
        <f t="shared" ref="B26:B27" si="12">B25</f>
        <v>B3</v>
      </c>
      <c r="C26" s="34" t="s">
        <v>382</v>
      </c>
      <c r="D26" s="34" t="str">
        <f t="shared" si="0"/>
        <v>B3m</v>
      </c>
      <c r="E26" s="35" t="str">
        <f t="shared" ref="E26:E27" si="13">E25</f>
        <v>一般辦公大樓(一般商辦、政府辦公、分租型辦公)</v>
      </c>
      <c r="F26" s="36">
        <f t="shared" ref="F26:F27" si="14">F25</f>
        <v>16.93</v>
      </c>
      <c r="G26" s="36">
        <v>31.61</v>
      </c>
      <c r="H26" s="36">
        <v>46.29</v>
      </c>
      <c r="I26" s="36">
        <v>52.85</v>
      </c>
      <c r="J26" s="36">
        <v>56.55</v>
      </c>
      <c r="K26" s="36">
        <v>34.270000000000003</v>
      </c>
      <c r="L26" s="36">
        <v>38.43</v>
      </c>
      <c r="M26" s="36">
        <v>48.1</v>
      </c>
      <c r="N26" s="36">
        <f t="shared" ref="N26:AA27" si="15">N25</f>
        <v>15</v>
      </c>
      <c r="O26" s="36">
        <f t="shared" si="15"/>
        <v>0.15</v>
      </c>
      <c r="P26" s="36">
        <f t="shared" si="15"/>
        <v>12</v>
      </c>
      <c r="Q26" s="36">
        <f t="shared" si="15"/>
        <v>1.8</v>
      </c>
      <c r="R26" s="36">
        <f t="shared" si="15"/>
        <v>10</v>
      </c>
      <c r="S26" s="36">
        <f t="shared" si="15"/>
        <v>50</v>
      </c>
      <c r="T26" s="36">
        <f t="shared" si="15"/>
        <v>2500</v>
      </c>
      <c r="U26" s="36">
        <f t="shared" si="15"/>
        <v>2500</v>
      </c>
      <c r="V26" s="36">
        <f t="shared" si="15"/>
        <v>2500</v>
      </c>
      <c r="W26" s="36">
        <f t="shared" si="15"/>
        <v>2500</v>
      </c>
      <c r="X26" s="36">
        <f t="shared" si="15"/>
        <v>1490</v>
      </c>
      <c r="Y26" s="36">
        <f t="shared" si="15"/>
        <v>1570</v>
      </c>
      <c r="Z26" s="36">
        <f t="shared" si="15"/>
        <v>2010</v>
      </c>
      <c r="AA26" s="36">
        <f t="shared" si="15"/>
        <v>250</v>
      </c>
      <c r="AB26" s="29"/>
    </row>
    <row r="27" spans="1:28">
      <c r="A27" s="34" t="s">
        <v>180</v>
      </c>
      <c r="B27" s="34" t="str">
        <f t="shared" si="12"/>
        <v>B3</v>
      </c>
      <c r="C27" s="34" t="s">
        <v>383</v>
      </c>
      <c r="D27" s="34" t="str">
        <f t="shared" si="0"/>
        <v>B3max</v>
      </c>
      <c r="E27" s="35" t="str">
        <f t="shared" si="13"/>
        <v>一般辦公大樓(一般商辦、政府辦公、分租型辦公)</v>
      </c>
      <c r="F27" s="36">
        <f t="shared" si="14"/>
        <v>16.93</v>
      </c>
      <c r="G27" s="36">
        <v>52.77</v>
      </c>
      <c r="H27" s="36">
        <v>68.33</v>
      </c>
      <c r="I27" s="36">
        <v>79.069999999999993</v>
      </c>
      <c r="J27" s="36">
        <v>83.09</v>
      </c>
      <c r="K27" s="36">
        <v>50.67</v>
      </c>
      <c r="L27" s="36">
        <v>57.17</v>
      </c>
      <c r="M27" s="36">
        <v>71.290000000000006</v>
      </c>
      <c r="N27" s="36">
        <f t="shared" si="15"/>
        <v>15</v>
      </c>
      <c r="O27" s="36">
        <f t="shared" si="15"/>
        <v>0.15</v>
      </c>
      <c r="P27" s="36">
        <f t="shared" si="15"/>
        <v>12</v>
      </c>
      <c r="Q27" s="36">
        <f t="shared" si="15"/>
        <v>1.8</v>
      </c>
      <c r="R27" s="36">
        <f t="shared" si="15"/>
        <v>10</v>
      </c>
      <c r="S27" s="36">
        <f t="shared" si="15"/>
        <v>50</v>
      </c>
      <c r="T27" s="36">
        <f t="shared" si="15"/>
        <v>2500</v>
      </c>
      <c r="U27" s="36">
        <f t="shared" si="15"/>
        <v>2500</v>
      </c>
      <c r="V27" s="36">
        <f t="shared" si="15"/>
        <v>2500</v>
      </c>
      <c r="W27" s="36">
        <f t="shared" si="15"/>
        <v>2500</v>
      </c>
      <c r="X27" s="36">
        <f t="shared" si="15"/>
        <v>1490</v>
      </c>
      <c r="Y27" s="36">
        <f t="shared" si="15"/>
        <v>1570</v>
      </c>
      <c r="Z27" s="36">
        <f t="shared" si="15"/>
        <v>2010</v>
      </c>
      <c r="AA27" s="36">
        <f t="shared" si="15"/>
        <v>250</v>
      </c>
      <c r="AB27" s="29"/>
    </row>
    <row r="28" spans="1:28">
      <c r="A28" s="34" t="s">
        <v>180</v>
      </c>
      <c r="B28" s="34" t="s">
        <v>184</v>
      </c>
      <c r="C28" s="34" t="s">
        <v>381</v>
      </c>
      <c r="D28" s="34" t="str">
        <f t="shared" si="0"/>
        <v>B4min</v>
      </c>
      <c r="E28" s="35" t="s">
        <v>187</v>
      </c>
      <c r="F28" s="36">
        <v>1.83</v>
      </c>
      <c r="G28" s="36">
        <v>12.07</v>
      </c>
      <c r="H28" s="36">
        <v>17.059999999999999</v>
      </c>
      <c r="I28" s="36">
        <v>17.71</v>
      </c>
      <c r="J28" s="36">
        <v>19.47</v>
      </c>
      <c r="K28" s="36">
        <v>12.77</v>
      </c>
      <c r="L28" s="36">
        <v>13.67</v>
      </c>
      <c r="M28" s="36">
        <v>17.2</v>
      </c>
      <c r="N28" s="36">
        <v>10</v>
      </c>
      <c r="O28" s="36">
        <v>0.03</v>
      </c>
      <c r="P28" s="36">
        <v>0</v>
      </c>
      <c r="Q28" s="36">
        <v>0</v>
      </c>
      <c r="R28" s="36">
        <v>15</v>
      </c>
      <c r="S28" s="36">
        <f t="shared" ref="S28" si="16">S27</f>
        <v>50</v>
      </c>
      <c r="T28" s="36">
        <f t="shared" ref="T28" si="17">T27</f>
        <v>2500</v>
      </c>
      <c r="U28" s="36">
        <f t="shared" ref="U28" si="18">U27</f>
        <v>2500</v>
      </c>
      <c r="V28" s="36">
        <f t="shared" ref="V28" si="19">V27</f>
        <v>2500</v>
      </c>
      <c r="W28" s="36">
        <f t="shared" ref="W28" si="20">W27</f>
        <v>2500</v>
      </c>
      <c r="X28" s="36">
        <f t="shared" ref="X28" si="21">X27</f>
        <v>1490</v>
      </c>
      <c r="Y28" s="36">
        <f t="shared" ref="Y28" si="22">Y27</f>
        <v>1570</v>
      </c>
      <c r="Z28" s="36">
        <f t="shared" ref="Z28" si="23">Z27</f>
        <v>2010</v>
      </c>
      <c r="AA28" s="36">
        <f t="shared" ref="AA28" si="24">AA27</f>
        <v>250</v>
      </c>
      <c r="AB28" s="29"/>
    </row>
    <row r="29" spans="1:28">
      <c r="A29" s="34" t="s">
        <v>180</v>
      </c>
      <c r="B29" s="34" t="str">
        <f t="shared" ref="B29:B30" si="25">B28</f>
        <v>B4</v>
      </c>
      <c r="C29" s="34" t="s">
        <v>382</v>
      </c>
      <c r="D29" s="34" t="str">
        <f t="shared" si="0"/>
        <v>B4m</v>
      </c>
      <c r="E29" s="35" t="str">
        <f t="shared" ref="E29:E30" si="26">E28</f>
        <v>一般辦公大樓專用大或專用走廊休息區等次空間</v>
      </c>
      <c r="F29" s="36">
        <f t="shared" ref="F29:F30" si="27">F28</f>
        <v>1.83</v>
      </c>
      <c r="G29" s="36">
        <v>24</v>
      </c>
      <c r="H29" s="36">
        <v>26.36</v>
      </c>
      <c r="I29" s="36">
        <v>28.38</v>
      </c>
      <c r="J29" s="36">
        <v>31.37</v>
      </c>
      <c r="K29" s="36">
        <v>20.420000000000002</v>
      </c>
      <c r="L29" s="36">
        <v>22.04</v>
      </c>
      <c r="M29" s="36">
        <v>27.63</v>
      </c>
      <c r="N29" s="36">
        <f t="shared" ref="N29:AA30" si="28">N28</f>
        <v>10</v>
      </c>
      <c r="O29" s="36">
        <f t="shared" si="28"/>
        <v>0.03</v>
      </c>
      <c r="P29" s="36">
        <f t="shared" si="28"/>
        <v>0</v>
      </c>
      <c r="Q29" s="36">
        <f t="shared" si="28"/>
        <v>0</v>
      </c>
      <c r="R29" s="36">
        <f t="shared" si="28"/>
        <v>15</v>
      </c>
      <c r="S29" s="36">
        <f t="shared" si="28"/>
        <v>50</v>
      </c>
      <c r="T29" s="36">
        <f t="shared" si="28"/>
        <v>2500</v>
      </c>
      <c r="U29" s="36">
        <f t="shared" si="28"/>
        <v>2500</v>
      </c>
      <c r="V29" s="36">
        <f t="shared" si="28"/>
        <v>2500</v>
      </c>
      <c r="W29" s="36">
        <f t="shared" si="28"/>
        <v>2500</v>
      </c>
      <c r="X29" s="36">
        <f t="shared" si="28"/>
        <v>1490</v>
      </c>
      <c r="Y29" s="36">
        <f t="shared" si="28"/>
        <v>1570</v>
      </c>
      <c r="Z29" s="36">
        <f t="shared" si="28"/>
        <v>2010</v>
      </c>
      <c r="AA29" s="36">
        <f t="shared" si="28"/>
        <v>250</v>
      </c>
      <c r="AB29" s="29"/>
    </row>
    <row r="30" spans="1:28">
      <c r="A30" s="34" t="s">
        <v>180</v>
      </c>
      <c r="B30" s="34" t="str">
        <f t="shared" si="25"/>
        <v>B4</v>
      </c>
      <c r="C30" s="34" t="s">
        <v>383</v>
      </c>
      <c r="D30" s="34" t="str">
        <f t="shared" si="0"/>
        <v>B4max</v>
      </c>
      <c r="E30" s="35" t="str">
        <f t="shared" si="26"/>
        <v>一般辦公大樓專用大或專用走廊休息區等次空間</v>
      </c>
      <c r="F30" s="36">
        <f t="shared" si="27"/>
        <v>1.83</v>
      </c>
      <c r="G30" s="36">
        <v>40.15</v>
      </c>
      <c r="H30" s="36">
        <v>40.79</v>
      </c>
      <c r="I30" s="36">
        <v>44.59</v>
      </c>
      <c r="J30" s="36">
        <v>48.43</v>
      </c>
      <c r="K30" s="36">
        <v>31.3</v>
      </c>
      <c r="L30" s="36">
        <v>34.36</v>
      </c>
      <c r="M30" s="36">
        <v>42.93</v>
      </c>
      <c r="N30" s="36">
        <f t="shared" si="28"/>
        <v>10</v>
      </c>
      <c r="O30" s="36">
        <f t="shared" si="28"/>
        <v>0.03</v>
      </c>
      <c r="P30" s="36">
        <f t="shared" si="28"/>
        <v>0</v>
      </c>
      <c r="Q30" s="36">
        <f t="shared" si="28"/>
        <v>0</v>
      </c>
      <c r="R30" s="36">
        <f t="shared" si="28"/>
        <v>15</v>
      </c>
      <c r="S30" s="36">
        <f t="shared" si="28"/>
        <v>50</v>
      </c>
      <c r="T30" s="36">
        <f t="shared" si="28"/>
        <v>2500</v>
      </c>
      <c r="U30" s="36">
        <f t="shared" si="28"/>
        <v>2500</v>
      </c>
      <c r="V30" s="36">
        <f t="shared" si="28"/>
        <v>2500</v>
      </c>
      <c r="W30" s="36">
        <f t="shared" si="28"/>
        <v>2500</v>
      </c>
      <c r="X30" s="36">
        <f t="shared" si="28"/>
        <v>1490</v>
      </c>
      <c r="Y30" s="36">
        <f t="shared" si="28"/>
        <v>1570</v>
      </c>
      <c r="Z30" s="36">
        <f t="shared" si="28"/>
        <v>2010</v>
      </c>
      <c r="AA30" s="36">
        <f t="shared" si="28"/>
        <v>250</v>
      </c>
      <c r="AB30" s="29"/>
    </row>
    <row r="31" spans="1:28">
      <c r="A31" s="34" t="s">
        <v>198</v>
      </c>
      <c r="B31" s="34" t="s">
        <v>193</v>
      </c>
      <c r="C31" s="34" t="s">
        <v>381</v>
      </c>
      <c r="D31" s="34" t="str">
        <f t="shared" si="0"/>
        <v>C1min</v>
      </c>
      <c r="E31" s="35" t="s">
        <v>192</v>
      </c>
      <c r="F31" s="36">
        <v>17.309999999999999</v>
      </c>
      <c r="G31" s="36">
        <v>18.440000000000001</v>
      </c>
      <c r="H31" s="36">
        <v>37.950000000000003</v>
      </c>
      <c r="I31" s="36">
        <v>39.96</v>
      </c>
      <c r="J31" s="36">
        <v>44.49</v>
      </c>
      <c r="K31" s="36">
        <v>27.64</v>
      </c>
      <c r="L31" s="36">
        <v>29.47</v>
      </c>
      <c r="M31" s="36">
        <v>38.26</v>
      </c>
      <c r="N31" s="36">
        <v>9.5</v>
      </c>
      <c r="O31" s="36">
        <v>0.1</v>
      </c>
      <c r="P31" s="36">
        <v>5.4</v>
      </c>
      <c r="Q31" s="36">
        <v>1.29</v>
      </c>
      <c r="R31" s="36">
        <v>10</v>
      </c>
      <c r="S31" s="36">
        <v>66</v>
      </c>
      <c r="T31" s="36">
        <v>3392</v>
      </c>
      <c r="U31" s="36">
        <v>3392</v>
      </c>
      <c r="V31" s="36">
        <v>3392</v>
      </c>
      <c r="W31" s="36">
        <v>3392</v>
      </c>
      <c r="X31" s="36">
        <v>2932</v>
      </c>
      <c r="Y31" s="36">
        <v>2144</v>
      </c>
      <c r="Z31" s="36">
        <v>2768</v>
      </c>
      <c r="AA31" s="36">
        <v>299</v>
      </c>
      <c r="AB31" s="29"/>
    </row>
    <row r="32" spans="1:28">
      <c r="A32" s="34" t="s">
        <v>198</v>
      </c>
      <c r="B32" s="34" t="str">
        <f t="shared" ref="B32:E33" si="29">B31</f>
        <v>C1</v>
      </c>
      <c r="C32" s="34" t="s">
        <v>382</v>
      </c>
      <c r="D32" s="34" t="str">
        <f t="shared" si="0"/>
        <v>C1m</v>
      </c>
      <c r="E32" s="35" t="str">
        <f t="shared" si="29"/>
        <v>國家圖書館或六都總圖書館之書/ 閱覽區</v>
      </c>
      <c r="F32" s="36">
        <f t="shared" ref="F32:F33" si="30">F31</f>
        <v>17.309999999999999</v>
      </c>
      <c r="G32" s="36">
        <v>36.57</v>
      </c>
      <c r="H32" s="36">
        <v>47.09</v>
      </c>
      <c r="I32" s="36">
        <v>50.2</v>
      </c>
      <c r="J32" s="36">
        <v>55.4</v>
      </c>
      <c r="K32" s="36">
        <v>34.36</v>
      </c>
      <c r="L32" s="36">
        <v>36.99</v>
      </c>
      <c r="M32" s="36">
        <v>47.54</v>
      </c>
      <c r="N32" s="36">
        <f t="shared" ref="N32:AA33" si="31">N31</f>
        <v>9.5</v>
      </c>
      <c r="O32" s="36">
        <f t="shared" si="31"/>
        <v>0.1</v>
      </c>
      <c r="P32" s="36">
        <f t="shared" si="31"/>
        <v>5.4</v>
      </c>
      <c r="Q32" s="36">
        <f t="shared" si="31"/>
        <v>1.29</v>
      </c>
      <c r="R32" s="36">
        <f t="shared" si="31"/>
        <v>10</v>
      </c>
      <c r="S32" s="36">
        <f t="shared" si="31"/>
        <v>66</v>
      </c>
      <c r="T32" s="36">
        <f t="shared" si="31"/>
        <v>3392</v>
      </c>
      <c r="U32" s="36">
        <f t="shared" si="31"/>
        <v>3392</v>
      </c>
      <c r="V32" s="36">
        <f t="shared" si="31"/>
        <v>3392</v>
      </c>
      <c r="W32" s="36">
        <f t="shared" si="31"/>
        <v>3392</v>
      </c>
      <c r="X32" s="36">
        <f t="shared" si="31"/>
        <v>2932</v>
      </c>
      <c r="Y32" s="36">
        <f t="shared" si="31"/>
        <v>2144</v>
      </c>
      <c r="Z32" s="36">
        <f t="shared" si="31"/>
        <v>2768</v>
      </c>
      <c r="AA32" s="36">
        <f t="shared" si="31"/>
        <v>299</v>
      </c>
      <c r="AB32" s="29"/>
    </row>
    <row r="33" spans="1:28">
      <c r="A33" s="34" t="s">
        <v>198</v>
      </c>
      <c r="B33" s="34" t="str">
        <f t="shared" si="29"/>
        <v>C1</v>
      </c>
      <c r="C33" s="34" t="s">
        <v>383</v>
      </c>
      <c r="D33" s="34" t="str">
        <f t="shared" si="0"/>
        <v>C1max</v>
      </c>
      <c r="E33" s="35" t="str">
        <f t="shared" si="29"/>
        <v>國家圖書館或六都總圖書館之書/ 閱覽區</v>
      </c>
      <c r="F33" s="36">
        <f t="shared" si="30"/>
        <v>17.309999999999999</v>
      </c>
      <c r="G33" s="36">
        <v>61.88</v>
      </c>
      <c r="H33" s="36">
        <v>69.28</v>
      </c>
      <c r="I33" s="36">
        <v>75.47</v>
      </c>
      <c r="J33" s="36">
        <v>84.55</v>
      </c>
      <c r="K33" s="36">
        <v>51</v>
      </c>
      <c r="L33" s="36">
        <v>55.51</v>
      </c>
      <c r="M33" s="36">
        <v>71.48</v>
      </c>
      <c r="N33" s="36">
        <f t="shared" si="31"/>
        <v>9.5</v>
      </c>
      <c r="O33" s="36">
        <f t="shared" si="31"/>
        <v>0.1</v>
      </c>
      <c r="P33" s="36">
        <f t="shared" si="31"/>
        <v>5.4</v>
      </c>
      <c r="Q33" s="36">
        <f t="shared" si="31"/>
        <v>1.29</v>
      </c>
      <c r="R33" s="36">
        <f t="shared" si="31"/>
        <v>10</v>
      </c>
      <c r="S33" s="36">
        <f t="shared" si="31"/>
        <v>66</v>
      </c>
      <c r="T33" s="36">
        <f t="shared" si="31"/>
        <v>3392</v>
      </c>
      <c r="U33" s="36">
        <f t="shared" si="31"/>
        <v>3392</v>
      </c>
      <c r="V33" s="36">
        <f t="shared" si="31"/>
        <v>3392</v>
      </c>
      <c r="W33" s="36">
        <f t="shared" si="31"/>
        <v>3392</v>
      </c>
      <c r="X33" s="36">
        <f t="shared" si="31"/>
        <v>2932</v>
      </c>
      <c r="Y33" s="36">
        <f t="shared" si="31"/>
        <v>2144</v>
      </c>
      <c r="Z33" s="36">
        <f t="shared" si="31"/>
        <v>2768</v>
      </c>
      <c r="AA33" s="36">
        <f t="shared" si="31"/>
        <v>299</v>
      </c>
      <c r="AB33" s="29"/>
    </row>
    <row r="34" spans="1:28">
      <c r="A34" s="34" t="s">
        <v>198</v>
      </c>
      <c r="B34" s="34" t="s">
        <v>194</v>
      </c>
      <c r="C34" s="34" t="s">
        <v>381</v>
      </c>
      <c r="D34" s="34" t="str">
        <f t="shared" si="0"/>
        <v>C2min</v>
      </c>
      <c r="E34" s="35" t="s">
        <v>189</v>
      </c>
      <c r="F34" s="36">
        <v>2.82</v>
      </c>
      <c r="G34" s="36">
        <v>16.37</v>
      </c>
      <c r="H34" s="36">
        <v>23.52</v>
      </c>
      <c r="I34" s="36">
        <v>24.58</v>
      </c>
      <c r="J34" s="36">
        <v>26.7</v>
      </c>
      <c r="K34" s="36">
        <v>17.100000000000001</v>
      </c>
      <c r="L34" s="36">
        <v>18.350000000000001</v>
      </c>
      <c r="M34" s="36">
        <v>23.24</v>
      </c>
      <c r="N34" s="36">
        <v>10</v>
      </c>
      <c r="O34" s="36">
        <v>0.03</v>
      </c>
      <c r="P34" s="36">
        <v>0</v>
      </c>
      <c r="Q34" s="36">
        <v>0</v>
      </c>
      <c r="R34" s="36">
        <v>15</v>
      </c>
      <c r="S34" s="36">
        <v>66</v>
      </c>
      <c r="T34" s="36">
        <v>3392</v>
      </c>
      <c r="U34" s="36">
        <v>3392</v>
      </c>
      <c r="V34" s="36">
        <v>3392</v>
      </c>
      <c r="W34" s="36">
        <v>3392</v>
      </c>
      <c r="X34" s="36">
        <v>2932</v>
      </c>
      <c r="Y34" s="36">
        <v>2144</v>
      </c>
      <c r="Z34" s="36">
        <v>2768</v>
      </c>
      <c r="AA34" s="36">
        <v>299</v>
      </c>
      <c r="AB34" s="29"/>
    </row>
    <row r="35" spans="1:28">
      <c r="A35" s="34" t="s">
        <v>198</v>
      </c>
      <c r="B35" s="34" t="str">
        <f t="shared" ref="B35:E36" si="32">B34</f>
        <v>C2</v>
      </c>
      <c r="C35" s="34" t="s">
        <v>382</v>
      </c>
      <c r="D35" s="34" t="str">
        <f t="shared" si="0"/>
        <v>C2m</v>
      </c>
      <c r="E35" s="35" t="str">
        <f t="shared" si="32"/>
        <v xml:space="preserve">國家圖書館或六都總圖書館之大廳 (含動態展區與休息廳) </v>
      </c>
      <c r="F35" s="36">
        <f t="shared" ref="F35:F36" si="33">F34</f>
        <v>2.82</v>
      </c>
      <c r="G35" s="36">
        <v>32.61</v>
      </c>
      <c r="H35" s="36">
        <v>29.29</v>
      </c>
      <c r="I35" s="36">
        <v>31.25</v>
      </c>
      <c r="J35" s="36">
        <v>33.770000000000003</v>
      </c>
      <c r="K35" s="36">
        <v>21.45</v>
      </c>
      <c r="L35" s="36">
        <v>23.31</v>
      </c>
      <c r="M35" s="36">
        <v>29.31</v>
      </c>
      <c r="N35" s="36">
        <f t="shared" ref="N35:AA36" si="34">N34</f>
        <v>10</v>
      </c>
      <c r="O35" s="36">
        <f t="shared" si="34"/>
        <v>0.03</v>
      </c>
      <c r="P35" s="36">
        <f t="shared" si="34"/>
        <v>0</v>
      </c>
      <c r="Q35" s="36">
        <f>Q34</f>
        <v>0</v>
      </c>
      <c r="R35" s="36">
        <f t="shared" si="34"/>
        <v>15</v>
      </c>
      <c r="S35" s="36">
        <f t="shared" si="34"/>
        <v>66</v>
      </c>
      <c r="T35" s="36">
        <f t="shared" si="34"/>
        <v>3392</v>
      </c>
      <c r="U35" s="36">
        <f t="shared" si="34"/>
        <v>3392</v>
      </c>
      <c r="V35" s="36">
        <f t="shared" si="34"/>
        <v>3392</v>
      </c>
      <c r="W35" s="36">
        <f t="shared" si="34"/>
        <v>3392</v>
      </c>
      <c r="X35" s="36">
        <f t="shared" si="34"/>
        <v>2932</v>
      </c>
      <c r="Y35" s="36">
        <f t="shared" si="34"/>
        <v>2144</v>
      </c>
      <c r="Z35" s="36">
        <f t="shared" si="34"/>
        <v>2768</v>
      </c>
      <c r="AA35" s="36">
        <f t="shared" si="34"/>
        <v>299</v>
      </c>
      <c r="AB35" s="29"/>
    </row>
    <row r="36" spans="1:28">
      <c r="A36" s="34" t="s">
        <v>198</v>
      </c>
      <c r="B36" s="34" t="str">
        <f t="shared" si="32"/>
        <v>C2</v>
      </c>
      <c r="C36" s="34" t="s">
        <v>383</v>
      </c>
      <c r="D36" s="34" t="str">
        <f t="shared" si="0"/>
        <v>C2max</v>
      </c>
      <c r="E36" s="35" t="str">
        <f t="shared" si="32"/>
        <v xml:space="preserve">國家圖書館或六都總圖書館之大廳 (含動態展區與休息廳) </v>
      </c>
      <c r="F36" s="36">
        <f t="shared" si="33"/>
        <v>2.82</v>
      </c>
      <c r="G36" s="36">
        <v>54.48</v>
      </c>
      <c r="H36" s="36">
        <v>43</v>
      </c>
      <c r="I36" s="36">
        <v>46.48</v>
      </c>
      <c r="J36" s="36">
        <v>50.47</v>
      </c>
      <c r="K36" s="36">
        <v>31.88</v>
      </c>
      <c r="L36" s="36">
        <v>34.75</v>
      </c>
      <c r="M36" s="36">
        <v>43.74</v>
      </c>
      <c r="N36" s="36">
        <f t="shared" si="34"/>
        <v>10</v>
      </c>
      <c r="O36" s="36">
        <f t="shared" si="34"/>
        <v>0.03</v>
      </c>
      <c r="P36" s="36">
        <f t="shared" si="34"/>
        <v>0</v>
      </c>
      <c r="Q36" s="36">
        <f t="shared" si="34"/>
        <v>0</v>
      </c>
      <c r="R36" s="36">
        <f t="shared" si="34"/>
        <v>15</v>
      </c>
      <c r="S36" s="36">
        <f t="shared" si="34"/>
        <v>66</v>
      </c>
      <c r="T36" s="36">
        <f t="shared" si="34"/>
        <v>3392</v>
      </c>
      <c r="U36" s="36">
        <f t="shared" si="34"/>
        <v>3392</v>
      </c>
      <c r="V36" s="36">
        <f t="shared" si="34"/>
        <v>3392</v>
      </c>
      <c r="W36" s="36">
        <f t="shared" si="34"/>
        <v>3392</v>
      </c>
      <c r="X36" s="36">
        <f t="shared" si="34"/>
        <v>2932</v>
      </c>
      <c r="Y36" s="36">
        <f t="shared" si="34"/>
        <v>2144</v>
      </c>
      <c r="Z36" s="36">
        <f t="shared" si="34"/>
        <v>2768</v>
      </c>
      <c r="AA36" s="36">
        <f t="shared" si="34"/>
        <v>299</v>
      </c>
      <c r="AB36" s="29"/>
    </row>
    <row r="37" spans="1:28">
      <c r="A37" s="34" t="s">
        <v>198</v>
      </c>
      <c r="B37" s="34" t="s">
        <v>195</v>
      </c>
      <c r="C37" s="34" t="s">
        <v>381</v>
      </c>
      <c r="D37" s="34" t="str">
        <f t="shared" si="0"/>
        <v>C3min</v>
      </c>
      <c r="E37" s="35" t="s">
        <v>190</v>
      </c>
      <c r="F37" s="36">
        <v>24.92</v>
      </c>
      <c r="G37" s="36">
        <v>13.71</v>
      </c>
      <c r="H37" s="36">
        <v>29.11</v>
      </c>
      <c r="I37" s="36">
        <v>29.86</v>
      </c>
      <c r="J37" s="36">
        <v>34.15</v>
      </c>
      <c r="K37" s="36">
        <v>21.8</v>
      </c>
      <c r="L37" s="36">
        <v>22.69</v>
      </c>
      <c r="M37" s="36">
        <v>29.6</v>
      </c>
      <c r="N37" s="36">
        <v>12</v>
      </c>
      <c r="O37" s="36">
        <v>0.15</v>
      </c>
      <c r="P37" s="36">
        <v>12</v>
      </c>
      <c r="Q37" s="36">
        <v>1.73</v>
      </c>
      <c r="R37" s="36">
        <v>10</v>
      </c>
      <c r="S37" s="36">
        <v>45</v>
      </c>
      <c r="T37" s="36">
        <v>2250</v>
      </c>
      <c r="U37" s="36">
        <v>2250</v>
      </c>
      <c r="V37" s="36">
        <v>2250</v>
      </c>
      <c r="W37" s="36">
        <v>2250</v>
      </c>
      <c r="X37" s="36">
        <v>1341</v>
      </c>
      <c r="Y37" s="36">
        <v>1413</v>
      </c>
      <c r="Z37" s="36">
        <v>1809</v>
      </c>
      <c r="AA37" s="36">
        <v>250</v>
      </c>
      <c r="AB37" s="29"/>
    </row>
    <row r="38" spans="1:28">
      <c r="A38" s="34" t="s">
        <v>198</v>
      </c>
      <c r="B38" s="34" t="str">
        <f t="shared" ref="B38:E39" si="35">B37</f>
        <v>C3</v>
      </c>
      <c r="C38" s="34" t="s">
        <v>382</v>
      </c>
      <c r="D38" s="34" t="str">
        <f t="shared" si="0"/>
        <v>C3m</v>
      </c>
      <c r="E38" s="35" t="str">
        <f t="shared" si="35"/>
        <v>國家圖書館或六都總圖書館或大學總圖書館之行政辦公區</v>
      </c>
      <c r="F38" s="36">
        <f t="shared" ref="F38:F39" si="36">F37</f>
        <v>24.92</v>
      </c>
      <c r="G38" s="36">
        <v>27.49</v>
      </c>
      <c r="H38" s="36">
        <v>35.18</v>
      </c>
      <c r="I38" s="36">
        <v>36.75</v>
      </c>
      <c r="J38" s="36">
        <v>41.96</v>
      </c>
      <c r="K38" s="36">
        <v>26.56</v>
      </c>
      <c r="L38" s="36">
        <v>27.99</v>
      </c>
      <c r="M38" s="36">
        <v>36.39</v>
      </c>
      <c r="N38" s="36">
        <f t="shared" ref="N38:AA39" si="37">N37</f>
        <v>12</v>
      </c>
      <c r="O38" s="36">
        <f t="shared" si="37"/>
        <v>0.15</v>
      </c>
      <c r="P38" s="36">
        <f t="shared" si="37"/>
        <v>12</v>
      </c>
      <c r="Q38" s="36">
        <f t="shared" si="37"/>
        <v>1.73</v>
      </c>
      <c r="R38" s="36">
        <f t="shared" si="37"/>
        <v>10</v>
      </c>
      <c r="S38" s="36">
        <f t="shared" si="37"/>
        <v>45</v>
      </c>
      <c r="T38" s="36">
        <f t="shared" si="37"/>
        <v>2250</v>
      </c>
      <c r="U38" s="36">
        <f t="shared" si="37"/>
        <v>2250</v>
      </c>
      <c r="V38" s="36">
        <f t="shared" si="37"/>
        <v>2250</v>
      </c>
      <c r="W38" s="36">
        <f t="shared" si="37"/>
        <v>2250</v>
      </c>
      <c r="X38" s="36">
        <f t="shared" si="37"/>
        <v>1341</v>
      </c>
      <c r="Y38" s="36">
        <f t="shared" si="37"/>
        <v>1413</v>
      </c>
      <c r="Z38" s="36">
        <f t="shared" si="37"/>
        <v>1809</v>
      </c>
      <c r="AA38" s="36">
        <f t="shared" si="37"/>
        <v>250</v>
      </c>
      <c r="AB38" s="29"/>
    </row>
    <row r="39" spans="1:28">
      <c r="A39" s="34" t="s">
        <v>198</v>
      </c>
      <c r="B39" s="34" t="str">
        <f t="shared" si="35"/>
        <v>C3</v>
      </c>
      <c r="C39" s="34" t="s">
        <v>383</v>
      </c>
      <c r="D39" s="34" t="str">
        <f t="shared" si="0"/>
        <v>C3max</v>
      </c>
      <c r="E39" s="35" t="str">
        <f t="shared" si="35"/>
        <v>國家圖書館或六都總圖書館或大學總圖書館之行政辦公區</v>
      </c>
      <c r="F39" s="36">
        <f t="shared" si="36"/>
        <v>24.92</v>
      </c>
      <c r="G39" s="36">
        <v>45.69</v>
      </c>
      <c r="H39" s="36">
        <v>49.5</v>
      </c>
      <c r="I39" s="36">
        <v>52.5</v>
      </c>
      <c r="J39" s="36">
        <v>60.15</v>
      </c>
      <c r="K39" s="36">
        <v>37.97</v>
      </c>
      <c r="L39" s="36">
        <v>40.1</v>
      </c>
      <c r="M39" s="36">
        <v>52.25</v>
      </c>
      <c r="N39" s="36">
        <f t="shared" si="37"/>
        <v>12</v>
      </c>
      <c r="O39" s="36">
        <f t="shared" si="37"/>
        <v>0.15</v>
      </c>
      <c r="P39" s="36">
        <f t="shared" si="37"/>
        <v>12</v>
      </c>
      <c r="Q39" s="36">
        <f t="shared" si="37"/>
        <v>1.73</v>
      </c>
      <c r="R39" s="36">
        <f t="shared" si="37"/>
        <v>10</v>
      </c>
      <c r="S39" s="36">
        <f t="shared" si="37"/>
        <v>45</v>
      </c>
      <c r="T39" s="36">
        <f t="shared" si="37"/>
        <v>2250</v>
      </c>
      <c r="U39" s="36">
        <f t="shared" si="37"/>
        <v>2250</v>
      </c>
      <c r="V39" s="36">
        <f t="shared" si="37"/>
        <v>2250</v>
      </c>
      <c r="W39" s="36">
        <f t="shared" si="37"/>
        <v>2250</v>
      </c>
      <c r="X39" s="36">
        <f t="shared" si="37"/>
        <v>1341</v>
      </c>
      <c r="Y39" s="36">
        <f t="shared" si="37"/>
        <v>1413</v>
      </c>
      <c r="Z39" s="36">
        <f t="shared" si="37"/>
        <v>1809</v>
      </c>
      <c r="AA39" s="36">
        <f t="shared" si="37"/>
        <v>250</v>
      </c>
      <c r="AB39" s="29"/>
    </row>
    <row r="40" spans="1:28">
      <c r="A40" s="34" t="s">
        <v>198</v>
      </c>
      <c r="B40" s="34" t="s">
        <v>196</v>
      </c>
      <c r="C40" s="34" t="s">
        <v>381</v>
      </c>
      <c r="D40" s="34" t="str">
        <f t="shared" si="0"/>
        <v>C4min</v>
      </c>
      <c r="E40" s="35" t="s">
        <v>191</v>
      </c>
      <c r="F40" s="36">
        <v>3.24</v>
      </c>
      <c r="G40" s="36">
        <v>18.440000000000001</v>
      </c>
      <c r="H40" s="36">
        <v>0</v>
      </c>
      <c r="I40" s="36">
        <v>0</v>
      </c>
      <c r="J40" s="36">
        <v>0</v>
      </c>
      <c r="K40" s="36">
        <v>19.43</v>
      </c>
      <c r="L40" s="36">
        <v>21.23</v>
      </c>
      <c r="M40" s="36">
        <v>26.95</v>
      </c>
      <c r="N40" s="36">
        <v>9.5</v>
      </c>
      <c r="O40" s="36">
        <v>0.1</v>
      </c>
      <c r="P40" s="36">
        <v>0.96</v>
      </c>
      <c r="Q40" s="36">
        <v>1.29</v>
      </c>
      <c r="R40" s="36">
        <v>0</v>
      </c>
      <c r="S40" s="36">
        <v>66</v>
      </c>
      <c r="T40" s="36">
        <v>3392</v>
      </c>
      <c r="U40" s="36">
        <v>2032</v>
      </c>
      <c r="V40" s="36">
        <v>2144</v>
      </c>
      <c r="W40" s="36">
        <v>2768</v>
      </c>
      <c r="X40" s="36">
        <v>2032</v>
      </c>
      <c r="Y40" s="36">
        <v>2144</v>
      </c>
      <c r="Z40" s="36">
        <v>2768</v>
      </c>
      <c r="AA40" s="36">
        <v>299</v>
      </c>
      <c r="AB40" s="29"/>
    </row>
    <row r="41" spans="1:28">
      <c r="A41" s="34" t="s">
        <v>198</v>
      </c>
      <c r="B41" s="34" t="str">
        <f t="shared" ref="B41:E42" si="38">B40</f>
        <v>C4</v>
      </c>
      <c r="C41" s="34" t="s">
        <v>382</v>
      </c>
      <c r="D41" s="34" t="str">
        <f t="shared" si="0"/>
        <v>C4m</v>
      </c>
      <c r="E41" s="35" t="str">
        <f t="shared" si="38"/>
        <v>C1以外圖書館之書閱覽區</v>
      </c>
      <c r="F41" s="36">
        <f t="shared" ref="F41:F42" si="39">F40</f>
        <v>3.24</v>
      </c>
      <c r="G41" s="36">
        <v>36.57</v>
      </c>
      <c r="H41" s="36">
        <v>0</v>
      </c>
      <c r="I41" s="36">
        <v>0</v>
      </c>
      <c r="J41" s="36">
        <v>0</v>
      </c>
      <c r="K41" s="36">
        <v>24.73</v>
      </c>
      <c r="L41" s="36">
        <v>27.32</v>
      </c>
      <c r="M41" s="36">
        <v>34.25</v>
      </c>
      <c r="N41" s="36">
        <f t="shared" ref="N41:AA42" si="40">N40</f>
        <v>9.5</v>
      </c>
      <c r="O41" s="36">
        <f t="shared" si="40"/>
        <v>0.1</v>
      </c>
      <c r="P41" s="36">
        <f t="shared" si="40"/>
        <v>0.96</v>
      </c>
      <c r="Q41" s="36">
        <f t="shared" si="40"/>
        <v>1.29</v>
      </c>
      <c r="R41" s="36">
        <f t="shared" si="40"/>
        <v>0</v>
      </c>
      <c r="S41" s="36">
        <f t="shared" si="40"/>
        <v>66</v>
      </c>
      <c r="T41" s="36">
        <f t="shared" si="40"/>
        <v>3392</v>
      </c>
      <c r="U41" s="36">
        <f t="shared" si="40"/>
        <v>2032</v>
      </c>
      <c r="V41" s="36">
        <f t="shared" si="40"/>
        <v>2144</v>
      </c>
      <c r="W41" s="36">
        <f t="shared" si="40"/>
        <v>2768</v>
      </c>
      <c r="X41" s="36">
        <f t="shared" si="40"/>
        <v>2032</v>
      </c>
      <c r="Y41" s="36">
        <f t="shared" si="40"/>
        <v>2144</v>
      </c>
      <c r="Z41" s="36">
        <f t="shared" si="40"/>
        <v>2768</v>
      </c>
      <c r="AA41" s="36">
        <f t="shared" si="40"/>
        <v>299</v>
      </c>
      <c r="AB41" s="29"/>
    </row>
    <row r="42" spans="1:28">
      <c r="A42" s="34" t="s">
        <v>198</v>
      </c>
      <c r="B42" s="34" t="str">
        <f t="shared" si="38"/>
        <v>C4</v>
      </c>
      <c r="C42" s="34" t="s">
        <v>383</v>
      </c>
      <c r="D42" s="34" t="str">
        <f t="shared" si="0"/>
        <v>C4max</v>
      </c>
      <c r="E42" s="35" t="str">
        <f t="shared" si="38"/>
        <v>C1以外圖書館之書閱覽區</v>
      </c>
      <c r="F42" s="36">
        <f t="shared" si="39"/>
        <v>3.24</v>
      </c>
      <c r="G42" s="36">
        <v>61.88</v>
      </c>
      <c r="H42" s="36">
        <v>0</v>
      </c>
      <c r="I42" s="36">
        <v>0</v>
      </c>
      <c r="J42" s="36">
        <v>0</v>
      </c>
      <c r="K42" s="36">
        <v>38.44</v>
      </c>
      <c r="L42" s="36">
        <v>43.1</v>
      </c>
      <c r="M42" s="36">
        <v>53.69</v>
      </c>
      <c r="N42" s="36">
        <f t="shared" si="40"/>
        <v>9.5</v>
      </c>
      <c r="O42" s="36">
        <f t="shared" si="40"/>
        <v>0.1</v>
      </c>
      <c r="P42" s="36">
        <f t="shared" si="40"/>
        <v>0.96</v>
      </c>
      <c r="Q42" s="36">
        <f t="shared" si="40"/>
        <v>1.29</v>
      </c>
      <c r="R42" s="36">
        <f t="shared" si="40"/>
        <v>0</v>
      </c>
      <c r="S42" s="36">
        <f t="shared" si="40"/>
        <v>66</v>
      </c>
      <c r="T42" s="36">
        <f t="shared" si="40"/>
        <v>3392</v>
      </c>
      <c r="U42" s="36">
        <f t="shared" si="40"/>
        <v>2032</v>
      </c>
      <c r="V42" s="36">
        <f t="shared" si="40"/>
        <v>2144</v>
      </c>
      <c r="W42" s="36">
        <f t="shared" si="40"/>
        <v>2768</v>
      </c>
      <c r="X42" s="36">
        <f t="shared" si="40"/>
        <v>2032</v>
      </c>
      <c r="Y42" s="36">
        <f t="shared" si="40"/>
        <v>2144</v>
      </c>
      <c r="Z42" s="36">
        <f t="shared" si="40"/>
        <v>2768</v>
      </c>
      <c r="AA42" s="36">
        <f t="shared" si="40"/>
        <v>299</v>
      </c>
      <c r="AB42" s="29"/>
    </row>
    <row r="43" spans="1:28">
      <c r="A43" s="34" t="s">
        <v>198</v>
      </c>
      <c r="B43" s="34" t="s">
        <v>197</v>
      </c>
      <c r="C43" s="34" t="s">
        <v>381</v>
      </c>
      <c r="D43" s="34" t="str">
        <f t="shared" si="0"/>
        <v>C5min</v>
      </c>
      <c r="E43" s="35" t="s">
        <v>199</v>
      </c>
      <c r="F43" s="36">
        <v>2.82</v>
      </c>
      <c r="G43" s="36">
        <v>16.37</v>
      </c>
      <c r="H43" s="36">
        <v>0</v>
      </c>
      <c r="I43" s="36">
        <v>0</v>
      </c>
      <c r="J43" s="36">
        <v>0</v>
      </c>
      <c r="K43" s="36">
        <v>14.71</v>
      </c>
      <c r="L43" s="36">
        <v>15.97</v>
      </c>
      <c r="M43" s="36">
        <v>19.88</v>
      </c>
      <c r="N43" s="36">
        <v>10</v>
      </c>
      <c r="O43" s="36">
        <v>0.03</v>
      </c>
      <c r="P43" s="36">
        <v>0</v>
      </c>
      <c r="Q43" s="36">
        <v>0</v>
      </c>
      <c r="R43" s="36">
        <v>0</v>
      </c>
      <c r="S43" s="36">
        <v>66</v>
      </c>
      <c r="T43" s="36">
        <v>3392</v>
      </c>
      <c r="U43" s="36">
        <v>2032</v>
      </c>
      <c r="V43" s="36">
        <v>2144</v>
      </c>
      <c r="W43" s="36">
        <v>2768</v>
      </c>
      <c r="X43" s="36">
        <v>2032</v>
      </c>
      <c r="Y43" s="36">
        <v>2144</v>
      </c>
      <c r="Z43" s="36">
        <v>2768</v>
      </c>
      <c r="AA43" s="36">
        <v>299</v>
      </c>
      <c r="AB43" s="29"/>
    </row>
    <row r="44" spans="1:28">
      <c r="A44" s="34" t="s">
        <v>198</v>
      </c>
      <c r="B44" s="34" t="str">
        <f t="shared" ref="B44:B45" si="41">B43</f>
        <v>C5</v>
      </c>
      <c r="C44" s="34" t="s">
        <v>382</v>
      </c>
      <c r="D44" s="34" t="str">
        <f t="shared" si="0"/>
        <v>C5m</v>
      </c>
      <c r="E44" s="35" t="s">
        <v>199</v>
      </c>
      <c r="F44" s="36">
        <f t="shared" ref="F44:F45" si="42">F43</f>
        <v>2.82</v>
      </c>
      <c r="G44" s="36">
        <v>32.61</v>
      </c>
      <c r="H44" s="36">
        <v>0</v>
      </c>
      <c r="I44" s="36">
        <v>0</v>
      </c>
      <c r="J44" s="36">
        <v>0</v>
      </c>
      <c r="K44" s="36">
        <v>18.62</v>
      </c>
      <c r="L44" s="36">
        <v>20.39</v>
      </c>
      <c r="M44" s="36">
        <v>25.22</v>
      </c>
      <c r="N44" s="36">
        <f t="shared" ref="N44:AA45" si="43">N43</f>
        <v>10</v>
      </c>
      <c r="O44" s="36">
        <f t="shared" si="43"/>
        <v>0.03</v>
      </c>
      <c r="P44" s="36">
        <f t="shared" si="43"/>
        <v>0</v>
      </c>
      <c r="Q44" s="36">
        <f t="shared" si="43"/>
        <v>0</v>
      </c>
      <c r="R44" s="36">
        <f t="shared" si="43"/>
        <v>0</v>
      </c>
      <c r="S44" s="36">
        <f t="shared" si="43"/>
        <v>66</v>
      </c>
      <c r="T44" s="36">
        <f t="shared" si="43"/>
        <v>3392</v>
      </c>
      <c r="U44" s="36">
        <f t="shared" si="43"/>
        <v>2032</v>
      </c>
      <c r="V44" s="36">
        <f t="shared" si="43"/>
        <v>2144</v>
      </c>
      <c r="W44" s="36">
        <f t="shared" si="43"/>
        <v>2768</v>
      </c>
      <c r="X44" s="36">
        <f t="shared" si="43"/>
        <v>2032</v>
      </c>
      <c r="Y44" s="36">
        <f t="shared" si="43"/>
        <v>2144</v>
      </c>
      <c r="Z44" s="36">
        <f t="shared" si="43"/>
        <v>2768</v>
      </c>
      <c r="AA44" s="36">
        <f t="shared" si="43"/>
        <v>299</v>
      </c>
      <c r="AB44" s="29"/>
    </row>
    <row r="45" spans="1:28">
      <c r="A45" s="34" t="s">
        <v>198</v>
      </c>
      <c r="B45" s="34" t="str">
        <f t="shared" si="41"/>
        <v>C5</v>
      </c>
      <c r="C45" s="34" t="s">
        <v>383</v>
      </c>
      <c r="D45" s="34" t="str">
        <f t="shared" si="0"/>
        <v>C5max</v>
      </c>
      <c r="E45" s="35" t="s">
        <v>199</v>
      </c>
      <c r="F45" s="36">
        <f t="shared" si="42"/>
        <v>2.82</v>
      </c>
      <c r="G45" s="36">
        <v>54.48</v>
      </c>
      <c r="H45" s="36">
        <v>0</v>
      </c>
      <c r="I45" s="36">
        <v>0</v>
      </c>
      <c r="J45" s="36">
        <v>0</v>
      </c>
      <c r="K45" s="36">
        <v>28.34</v>
      </c>
      <c r="L45" s="36">
        <v>31.34</v>
      </c>
      <c r="M45" s="36">
        <v>38.64</v>
      </c>
      <c r="N45" s="36">
        <f t="shared" si="43"/>
        <v>10</v>
      </c>
      <c r="O45" s="36">
        <f t="shared" si="43"/>
        <v>0.03</v>
      </c>
      <c r="P45" s="36">
        <f t="shared" si="43"/>
        <v>0</v>
      </c>
      <c r="Q45" s="36">
        <f t="shared" si="43"/>
        <v>0</v>
      </c>
      <c r="R45" s="36">
        <f t="shared" si="43"/>
        <v>0</v>
      </c>
      <c r="S45" s="36">
        <f t="shared" si="43"/>
        <v>66</v>
      </c>
      <c r="T45" s="36">
        <f t="shared" si="43"/>
        <v>3392</v>
      </c>
      <c r="U45" s="36">
        <f t="shared" si="43"/>
        <v>2032</v>
      </c>
      <c r="V45" s="36">
        <f t="shared" si="43"/>
        <v>2144</v>
      </c>
      <c r="W45" s="36">
        <f t="shared" si="43"/>
        <v>2768</v>
      </c>
      <c r="X45" s="36">
        <f t="shared" si="43"/>
        <v>2032</v>
      </c>
      <c r="Y45" s="36">
        <f t="shared" si="43"/>
        <v>2144</v>
      </c>
      <c r="Z45" s="36">
        <f t="shared" si="43"/>
        <v>2768</v>
      </c>
      <c r="AA45" s="36">
        <f t="shared" si="43"/>
        <v>299</v>
      </c>
      <c r="AB45" s="29"/>
    </row>
    <row r="46" spans="1:28">
      <c r="A46" s="34" t="s">
        <v>198</v>
      </c>
      <c r="B46" s="34" t="s">
        <v>200</v>
      </c>
      <c r="C46" s="34" t="s">
        <v>381</v>
      </c>
      <c r="D46" s="34" t="str">
        <f t="shared" si="0"/>
        <v>C6min</v>
      </c>
      <c r="E46" s="35" t="s">
        <v>205</v>
      </c>
      <c r="F46" s="36">
        <v>24.92</v>
      </c>
      <c r="G46" s="36">
        <v>13.71</v>
      </c>
      <c r="H46" s="36">
        <v>0</v>
      </c>
      <c r="I46" s="36">
        <v>0</v>
      </c>
      <c r="J46" s="36">
        <v>0</v>
      </c>
      <c r="K46" s="36">
        <v>16.37</v>
      </c>
      <c r="L46" s="36">
        <v>17.32</v>
      </c>
      <c r="M46" s="36">
        <v>22.04</v>
      </c>
      <c r="N46" s="36">
        <v>12</v>
      </c>
      <c r="O46" s="36">
        <v>0.15</v>
      </c>
      <c r="P46" s="36">
        <v>12</v>
      </c>
      <c r="Q46" s="36">
        <v>1.73</v>
      </c>
      <c r="R46" s="36">
        <v>0</v>
      </c>
      <c r="S46" s="36">
        <v>45</v>
      </c>
      <c r="T46" s="36">
        <v>2250</v>
      </c>
      <c r="U46" s="36">
        <v>2250</v>
      </c>
      <c r="V46" s="36">
        <v>2250</v>
      </c>
      <c r="W46" s="36">
        <v>2250</v>
      </c>
      <c r="X46" s="36">
        <v>1341</v>
      </c>
      <c r="Y46" s="36">
        <v>1413</v>
      </c>
      <c r="Z46" s="36">
        <v>1809</v>
      </c>
      <c r="AA46" s="36">
        <v>250</v>
      </c>
      <c r="AB46" s="29"/>
    </row>
    <row r="47" spans="1:28">
      <c r="A47" s="34" t="s">
        <v>198</v>
      </c>
      <c r="B47" s="34" t="str">
        <f t="shared" ref="B47:F47" si="44">B46</f>
        <v>C6</v>
      </c>
      <c r="C47" s="34" t="s">
        <v>382</v>
      </c>
      <c r="D47" s="34" t="str">
        <f t="shared" si="0"/>
        <v>C6m</v>
      </c>
      <c r="E47" s="37" t="str">
        <f t="shared" si="44"/>
        <v>C1以外圖書館之行政辦公區</v>
      </c>
      <c r="F47" s="36">
        <f t="shared" si="44"/>
        <v>24.92</v>
      </c>
      <c r="G47" s="36">
        <v>27.49</v>
      </c>
      <c r="H47" s="36">
        <v>0</v>
      </c>
      <c r="I47" s="36">
        <v>0</v>
      </c>
      <c r="J47" s="36">
        <v>0</v>
      </c>
      <c r="K47" s="36">
        <v>20.63</v>
      </c>
      <c r="L47" s="36">
        <v>21.98</v>
      </c>
      <c r="M47" s="36">
        <v>27.93</v>
      </c>
      <c r="N47" s="36">
        <f t="shared" ref="N47:AA48" si="45">N46</f>
        <v>12</v>
      </c>
      <c r="O47" s="36">
        <f t="shared" si="45"/>
        <v>0.15</v>
      </c>
      <c r="P47" s="36">
        <f t="shared" si="45"/>
        <v>12</v>
      </c>
      <c r="Q47" s="36">
        <f t="shared" si="45"/>
        <v>1.73</v>
      </c>
      <c r="R47" s="36">
        <f t="shared" si="45"/>
        <v>0</v>
      </c>
      <c r="S47" s="36">
        <f t="shared" si="45"/>
        <v>45</v>
      </c>
      <c r="T47" s="36">
        <f t="shared" si="45"/>
        <v>2250</v>
      </c>
      <c r="U47" s="36">
        <f t="shared" si="45"/>
        <v>2250</v>
      </c>
      <c r="V47" s="36">
        <f t="shared" si="45"/>
        <v>2250</v>
      </c>
      <c r="W47" s="36">
        <f t="shared" si="45"/>
        <v>2250</v>
      </c>
      <c r="X47" s="36">
        <f t="shared" si="45"/>
        <v>1341</v>
      </c>
      <c r="Y47" s="36">
        <f t="shared" si="45"/>
        <v>1413</v>
      </c>
      <c r="Z47" s="36">
        <f t="shared" si="45"/>
        <v>1809</v>
      </c>
      <c r="AA47" s="36">
        <f t="shared" si="45"/>
        <v>250</v>
      </c>
      <c r="AB47" s="29"/>
    </row>
    <row r="48" spans="1:28">
      <c r="A48" s="34" t="s">
        <v>198</v>
      </c>
      <c r="B48" s="34" t="str">
        <f t="shared" ref="B48" si="46">B47</f>
        <v>C6</v>
      </c>
      <c r="C48" s="34" t="s">
        <v>383</v>
      </c>
      <c r="D48" s="34" t="str">
        <f t="shared" si="0"/>
        <v>C6max</v>
      </c>
      <c r="E48" s="37" t="str">
        <f t="shared" ref="E48" si="47">E47</f>
        <v>C1以外圖書館之行政辦公區</v>
      </c>
      <c r="F48" s="36">
        <f t="shared" ref="F48" si="48">F47</f>
        <v>24.92</v>
      </c>
      <c r="G48" s="36">
        <v>45.69</v>
      </c>
      <c r="H48" s="36">
        <v>0</v>
      </c>
      <c r="I48" s="36">
        <v>0</v>
      </c>
      <c r="J48" s="36">
        <v>0</v>
      </c>
      <c r="K48" s="36">
        <v>30.13</v>
      </c>
      <c r="L48" s="36">
        <v>32.75</v>
      </c>
      <c r="M48" s="36">
        <v>41.19</v>
      </c>
      <c r="N48" s="36">
        <f t="shared" si="45"/>
        <v>12</v>
      </c>
      <c r="O48" s="36">
        <f t="shared" si="45"/>
        <v>0.15</v>
      </c>
      <c r="P48" s="36">
        <f t="shared" si="45"/>
        <v>12</v>
      </c>
      <c r="Q48" s="36">
        <f t="shared" si="45"/>
        <v>1.73</v>
      </c>
      <c r="R48" s="36">
        <f t="shared" si="45"/>
        <v>0</v>
      </c>
      <c r="S48" s="36">
        <f t="shared" si="45"/>
        <v>45</v>
      </c>
      <c r="T48" s="36">
        <f t="shared" si="45"/>
        <v>2250</v>
      </c>
      <c r="U48" s="36">
        <f t="shared" si="45"/>
        <v>2250</v>
      </c>
      <c r="V48" s="36">
        <f t="shared" si="45"/>
        <v>2250</v>
      </c>
      <c r="W48" s="36">
        <f t="shared" si="45"/>
        <v>2250</v>
      </c>
      <c r="X48" s="36">
        <f t="shared" si="45"/>
        <v>1341</v>
      </c>
      <c r="Y48" s="36">
        <f t="shared" si="45"/>
        <v>1413</v>
      </c>
      <c r="Z48" s="36">
        <f t="shared" si="45"/>
        <v>1809</v>
      </c>
      <c r="AA48" s="36">
        <f t="shared" si="45"/>
        <v>250</v>
      </c>
      <c r="AB48" s="29"/>
    </row>
    <row r="49" spans="1:28">
      <c r="A49" s="34" t="s">
        <v>198</v>
      </c>
      <c r="B49" s="34" t="s">
        <v>201</v>
      </c>
      <c r="C49" s="34" t="s">
        <v>381</v>
      </c>
      <c r="D49" s="34" t="str">
        <f t="shared" si="0"/>
        <v>C7min</v>
      </c>
      <c r="E49" s="35" t="s">
        <v>203</v>
      </c>
      <c r="F49" s="36">
        <v>16.89</v>
      </c>
      <c r="G49" s="36">
        <v>21.3</v>
      </c>
      <c r="H49" s="36">
        <v>38.950000000000003</v>
      </c>
      <c r="I49" s="36">
        <v>41.72</v>
      </c>
      <c r="J49" s="36">
        <v>46.19</v>
      </c>
      <c r="K49" s="36">
        <v>27.76</v>
      </c>
      <c r="L49" s="36">
        <v>30.43</v>
      </c>
      <c r="M49" s="36">
        <v>39.9</v>
      </c>
      <c r="N49" s="36">
        <v>9.5</v>
      </c>
      <c r="O49" s="36">
        <v>0.1</v>
      </c>
      <c r="P49" s="36">
        <v>5.4</v>
      </c>
      <c r="Q49" s="36">
        <v>1.37</v>
      </c>
      <c r="R49" s="36">
        <v>10</v>
      </c>
      <c r="S49" s="36">
        <v>89</v>
      </c>
      <c r="T49" s="36">
        <v>3939</v>
      </c>
      <c r="U49" s="36">
        <v>3939</v>
      </c>
      <c r="V49" s="36">
        <v>3939</v>
      </c>
      <c r="W49" s="36">
        <v>3939</v>
      </c>
      <c r="X49" s="36">
        <v>2233</v>
      </c>
      <c r="Y49" s="36">
        <v>2397</v>
      </c>
      <c r="Z49" s="36">
        <v>3150</v>
      </c>
      <c r="AA49" s="36">
        <v>338</v>
      </c>
      <c r="AB49" s="29"/>
    </row>
    <row r="50" spans="1:28">
      <c r="A50" s="34" t="s">
        <v>198</v>
      </c>
      <c r="B50" s="34" t="str">
        <f t="shared" ref="B50:F50" si="49">B49</f>
        <v>C7</v>
      </c>
      <c r="C50" s="34" t="s">
        <v>382</v>
      </c>
      <c r="D50" s="34" t="str">
        <f t="shared" si="0"/>
        <v>C7m</v>
      </c>
      <c r="E50" s="37" t="str">
        <f t="shared" si="49"/>
        <v>大學總圖書館之書庫/閱覽區</v>
      </c>
      <c r="F50" s="36">
        <f t="shared" si="49"/>
        <v>16.89</v>
      </c>
      <c r="G50" s="36">
        <v>42.25</v>
      </c>
      <c r="H50" s="36">
        <v>48.36</v>
      </c>
      <c r="I50" s="36">
        <v>52.84</v>
      </c>
      <c r="J50" s="36">
        <v>57.94</v>
      </c>
      <c r="K50" s="36">
        <v>34.56</v>
      </c>
      <c r="L50" s="36">
        <v>38.46</v>
      </c>
      <c r="M50" s="36">
        <v>50.06</v>
      </c>
      <c r="N50" s="36">
        <f t="shared" ref="N50:AA51" si="50">N49</f>
        <v>9.5</v>
      </c>
      <c r="O50" s="36">
        <f t="shared" si="50"/>
        <v>0.1</v>
      </c>
      <c r="P50" s="36">
        <f t="shared" si="50"/>
        <v>5.4</v>
      </c>
      <c r="Q50" s="36">
        <f t="shared" si="50"/>
        <v>1.37</v>
      </c>
      <c r="R50" s="36">
        <f t="shared" si="50"/>
        <v>10</v>
      </c>
      <c r="S50" s="36">
        <f t="shared" si="50"/>
        <v>89</v>
      </c>
      <c r="T50" s="36">
        <f t="shared" si="50"/>
        <v>3939</v>
      </c>
      <c r="U50" s="36">
        <f t="shared" si="50"/>
        <v>3939</v>
      </c>
      <c r="V50" s="36">
        <f t="shared" si="50"/>
        <v>3939</v>
      </c>
      <c r="W50" s="36">
        <f t="shared" si="50"/>
        <v>3939</v>
      </c>
      <c r="X50" s="36">
        <f t="shared" si="50"/>
        <v>2233</v>
      </c>
      <c r="Y50" s="36">
        <f t="shared" si="50"/>
        <v>2397</v>
      </c>
      <c r="Z50" s="36">
        <f t="shared" si="50"/>
        <v>3150</v>
      </c>
      <c r="AA50" s="36">
        <f t="shared" si="50"/>
        <v>338</v>
      </c>
      <c r="AB50" s="29"/>
    </row>
    <row r="51" spans="1:28">
      <c r="A51" s="34" t="s">
        <v>198</v>
      </c>
      <c r="B51" s="34" t="str">
        <f t="shared" ref="B51" si="51">B50</f>
        <v>C7</v>
      </c>
      <c r="C51" s="34" t="s">
        <v>383</v>
      </c>
      <c r="D51" s="34" t="str">
        <f t="shared" si="0"/>
        <v>C7max</v>
      </c>
      <c r="E51" s="37" t="str">
        <f t="shared" ref="E51" si="52">E50</f>
        <v>大學總圖書館之書庫/閱覽區</v>
      </c>
      <c r="F51" s="36">
        <f t="shared" ref="F51" si="53">F50</f>
        <v>16.89</v>
      </c>
      <c r="G51" s="36">
        <v>71.150000000000006</v>
      </c>
      <c r="H51" s="36">
        <v>72.28</v>
      </c>
      <c r="I51" s="36">
        <v>79.650000000000006</v>
      </c>
      <c r="J51" s="36">
        <v>87.76</v>
      </c>
      <c r="K51" s="36">
        <v>52.04</v>
      </c>
      <c r="L51" s="36">
        <v>57.91</v>
      </c>
      <c r="M51" s="36">
        <v>75.510000000000005</v>
      </c>
      <c r="N51" s="36">
        <f t="shared" si="50"/>
        <v>9.5</v>
      </c>
      <c r="O51" s="36">
        <f t="shared" si="50"/>
        <v>0.1</v>
      </c>
      <c r="P51" s="36">
        <f t="shared" si="50"/>
        <v>5.4</v>
      </c>
      <c r="Q51" s="36">
        <f t="shared" si="50"/>
        <v>1.37</v>
      </c>
      <c r="R51" s="36">
        <f t="shared" si="50"/>
        <v>10</v>
      </c>
      <c r="S51" s="36">
        <f t="shared" si="50"/>
        <v>89</v>
      </c>
      <c r="T51" s="36">
        <f t="shared" si="50"/>
        <v>3939</v>
      </c>
      <c r="U51" s="36">
        <f t="shared" si="50"/>
        <v>3939</v>
      </c>
      <c r="V51" s="36">
        <f t="shared" si="50"/>
        <v>3939</v>
      </c>
      <c r="W51" s="36">
        <f t="shared" si="50"/>
        <v>3939</v>
      </c>
      <c r="X51" s="36">
        <f t="shared" si="50"/>
        <v>2233</v>
      </c>
      <c r="Y51" s="36">
        <f t="shared" si="50"/>
        <v>2397</v>
      </c>
      <c r="Z51" s="36">
        <f t="shared" si="50"/>
        <v>3150</v>
      </c>
      <c r="AA51" s="36">
        <f t="shared" si="50"/>
        <v>338</v>
      </c>
      <c r="AB51" s="29"/>
    </row>
    <row r="52" spans="1:28">
      <c r="A52" s="34" t="s">
        <v>198</v>
      </c>
      <c r="B52" s="34" t="s">
        <v>202</v>
      </c>
      <c r="C52" s="34" t="s">
        <v>381</v>
      </c>
      <c r="D52" s="34" t="str">
        <f t="shared" si="0"/>
        <v>C8min</v>
      </c>
      <c r="E52" s="35" t="s">
        <v>204</v>
      </c>
      <c r="F52" s="36">
        <v>2.75</v>
      </c>
      <c r="G52" s="36">
        <v>18.91</v>
      </c>
      <c r="H52" s="36">
        <v>24.5</v>
      </c>
      <c r="I52" s="36">
        <v>25.82</v>
      </c>
      <c r="J52" s="36">
        <v>28.22</v>
      </c>
      <c r="K52" s="36">
        <v>17.45</v>
      </c>
      <c r="L52" s="36">
        <v>19.07</v>
      </c>
      <c r="M52" s="36">
        <v>24.66</v>
      </c>
      <c r="N52" s="36">
        <v>10</v>
      </c>
      <c r="O52" s="36">
        <v>0.03</v>
      </c>
      <c r="P52" s="36">
        <v>0</v>
      </c>
      <c r="Q52" s="36">
        <v>0</v>
      </c>
      <c r="R52" s="36">
        <v>15</v>
      </c>
      <c r="S52" s="36">
        <v>89</v>
      </c>
      <c r="T52" s="36">
        <v>3939</v>
      </c>
      <c r="U52" s="36">
        <v>3939</v>
      </c>
      <c r="V52" s="36">
        <v>3939</v>
      </c>
      <c r="W52" s="36">
        <v>3939</v>
      </c>
      <c r="X52" s="36">
        <v>2233</v>
      </c>
      <c r="Y52" s="36">
        <v>2397</v>
      </c>
      <c r="Z52" s="36">
        <v>3150</v>
      </c>
      <c r="AA52" s="36">
        <v>338</v>
      </c>
      <c r="AB52" s="29"/>
    </row>
    <row r="53" spans="1:28">
      <c r="A53" s="34" t="s">
        <v>198</v>
      </c>
      <c r="B53" s="34" t="s">
        <v>202</v>
      </c>
      <c r="C53" s="34" t="s">
        <v>382</v>
      </c>
      <c r="D53" s="34" t="str">
        <f t="shared" si="0"/>
        <v>C8m</v>
      </c>
      <c r="E53" s="35" t="s">
        <v>204</v>
      </c>
      <c r="F53" s="36">
        <v>2.75</v>
      </c>
      <c r="G53" s="36">
        <v>37.67</v>
      </c>
      <c r="H53" s="36">
        <v>30.67</v>
      </c>
      <c r="I53" s="36">
        <v>33.03</v>
      </c>
      <c r="J53" s="36">
        <v>35.79</v>
      </c>
      <c r="K53" s="36">
        <v>21.97</v>
      </c>
      <c r="L53" s="36">
        <v>24.35</v>
      </c>
      <c r="M53" s="36">
        <v>31.23</v>
      </c>
      <c r="N53" s="36">
        <f t="shared" ref="N53:AA54" si="54">N52</f>
        <v>10</v>
      </c>
      <c r="O53" s="36">
        <f t="shared" si="54"/>
        <v>0.03</v>
      </c>
      <c r="P53" s="36">
        <f t="shared" si="54"/>
        <v>0</v>
      </c>
      <c r="Q53" s="36">
        <f t="shared" si="54"/>
        <v>0</v>
      </c>
      <c r="R53" s="36">
        <f t="shared" si="54"/>
        <v>15</v>
      </c>
      <c r="S53" s="36">
        <f t="shared" si="54"/>
        <v>89</v>
      </c>
      <c r="T53" s="36">
        <f t="shared" si="54"/>
        <v>3939</v>
      </c>
      <c r="U53" s="36">
        <f t="shared" si="54"/>
        <v>3939</v>
      </c>
      <c r="V53" s="36">
        <f t="shared" si="54"/>
        <v>3939</v>
      </c>
      <c r="W53" s="36">
        <f t="shared" si="54"/>
        <v>3939</v>
      </c>
      <c r="X53" s="36">
        <f t="shared" si="54"/>
        <v>2233</v>
      </c>
      <c r="Y53" s="36">
        <f t="shared" si="54"/>
        <v>2397</v>
      </c>
      <c r="Z53" s="36">
        <f t="shared" si="54"/>
        <v>3150</v>
      </c>
      <c r="AA53" s="36">
        <f t="shared" si="54"/>
        <v>338</v>
      </c>
      <c r="AB53" s="29"/>
    </row>
    <row r="54" spans="1:28">
      <c r="A54" s="34" t="s">
        <v>198</v>
      </c>
      <c r="B54" s="34" t="s">
        <v>202</v>
      </c>
      <c r="C54" s="34" t="s">
        <v>383</v>
      </c>
      <c r="D54" s="34" t="str">
        <f t="shared" si="0"/>
        <v>C8max</v>
      </c>
      <c r="E54" s="35" t="s">
        <v>204</v>
      </c>
      <c r="F54" s="36">
        <v>2.75</v>
      </c>
      <c r="G54" s="36">
        <v>62.93</v>
      </c>
      <c r="H54" s="36">
        <v>45.27</v>
      </c>
      <c r="I54" s="36">
        <v>49.06</v>
      </c>
      <c r="J54" s="36">
        <v>53.45</v>
      </c>
      <c r="K54" s="36">
        <v>32.83</v>
      </c>
      <c r="L54" s="36">
        <v>36.29</v>
      </c>
      <c r="M54" s="36">
        <v>46.5</v>
      </c>
      <c r="N54" s="36">
        <f t="shared" si="54"/>
        <v>10</v>
      </c>
      <c r="O54" s="36">
        <f t="shared" si="54"/>
        <v>0.03</v>
      </c>
      <c r="P54" s="36">
        <f t="shared" si="54"/>
        <v>0</v>
      </c>
      <c r="Q54" s="36">
        <f t="shared" si="54"/>
        <v>0</v>
      </c>
      <c r="R54" s="36">
        <f t="shared" si="54"/>
        <v>15</v>
      </c>
      <c r="S54" s="36">
        <f t="shared" si="54"/>
        <v>89</v>
      </c>
      <c r="T54" s="36">
        <f t="shared" si="54"/>
        <v>3939</v>
      </c>
      <c r="U54" s="36">
        <f t="shared" si="54"/>
        <v>3939</v>
      </c>
      <c r="V54" s="36">
        <f t="shared" si="54"/>
        <v>3939</v>
      </c>
      <c r="W54" s="36">
        <f t="shared" si="54"/>
        <v>3939</v>
      </c>
      <c r="X54" s="36">
        <f t="shared" si="54"/>
        <v>2233</v>
      </c>
      <c r="Y54" s="36">
        <f t="shared" si="54"/>
        <v>2397</v>
      </c>
      <c r="Z54" s="36">
        <f t="shared" si="54"/>
        <v>3150</v>
      </c>
      <c r="AA54" s="36">
        <f t="shared" si="54"/>
        <v>338</v>
      </c>
      <c r="AB54" s="29"/>
    </row>
    <row r="55" spans="1:28">
      <c r="A55" s="34" t="s">
        <v>216</v>
      </c>
      <c r="B55" s="34" t="s">
        <v>211</v>
      </c>
      <c r="C55" s="34" t="s">
        <v>381</v>
      </c>
      <c r="D55" s="34" t="str">
        <f t="shared" si="0"/>
        <v>D1min</v>
      </c>
      <c r="E55" s="38" t="s">
        <v>334</v>
      </c>
      <c r="F55" s="36">
        <v>38.1</v>
      </c>
      <c r="G55" s="36">
        <v>17.309999999999999</v>
      </c>
      <c r="H55" s="36">
        <v>138.97999999999999</v>
      </c>
      <c r="I55" s="36">
        <v>135.41999999999999</v>
      </c>
      <c r="J55" s="36">
        <v>143.72999999999999</v>
      </c>
      <c r="K55" s="36">
        <v>0</v>
      </c>
      <c r="L55" s="36">
        <v>0</v>
      </c>
      <c r="M55" s="36">
        <v>0</v>
      </c>
      <c r="N55" s="36">
        <v>12</v>
      </c>
      <c r="O55" s="36">
        <v>0.1</v>
      </c>
      <c r="P55" s="36">
        <v>15</v>
      </c>
      <c r="Q55" s="36">
        <v>1.1200000000000001</v>
      </c>
      <c r="R55" s="36">
        <v>10</v>
      </c>
      <c r="S55" s="36">
        <v>42</v>
      </c>
      <c r="T55" s="36">
        <v>2184</v>
      </c>
      <c r="U55" s="36">
        <v>8760</v>
      </c>
      <c r="V55" s="36">
        <v>8760</v>
      </c>
      <c r="W55" s="36">
        <v>8760</v>
      </c>
      <c r="X55" s="36">
        <v>8760</v>
      </c>
      <c r="Y55" s="36">
        <v>8760</v>
      </c>
      <c r="Z55" s="36">
        <v>8760</v>
      </c>
      <c r="AA55" s="36">
        <v>273</v>
      </c>
      <c r="AB55" s="29"/>
    </row>
    <row r="56" spans="1:28">
      <c r="A56" s="34" t="s">
        <v>216</v>
      </c>
      <c r="B56" s="34" t="s">
        <v>211</v>
      </c>
      <c r="C56" s="34" t="s">
        <v>382</v>
      </c>
      <c r="D56" s="34" t="str">
        <f t="shared" si="0"/>
        <v>D1m</v>
      </c>
      <c r="E56" s="38" t="s">
        <v>334</v>
      </c>
      <c r="F56" s="36">
        <v>38.1</v>
      </c>
      <c r="G56" s="36">
        <v>21.58</v>
      </c>
      <c r="H56" s="36">
        <v>154.86000000000001</v>
      </c>
      <c r="I56" s="36">
        <v>152.22</v>
      </c>
      <c r="J56" s="36">
        <v>162.6</v>
      </c>
      <c r="K56" s="36">
        <v>0</v>
      </c>
      <c r="L56" s="36">
        <v>0</v>
      </c>
      <c r="M56" s="36">
        <v>0</v>
      </c>
      <c r="N56" s="36">
        <f t="shared" ref="N56:AA57" si="55">N55</f>
        <v>12</v>
      </c>
      <c r="O56" s="36">
        <f t="shared" si="55"/>
        <v>0.1</v>
      </c>
      <c r="P56" s="36">
        <f t="shared" si="55"/>
        <v>15</v>
      </c>
      <c r="Q56" s="36">
        <f t="shared" si="55"/>
        <v>1.1200000000000001</v>
      </c>
      <c r="R56" s="36">
        <f t="shared" si="55"/>
        <v>10</v>
      </c>
      <c r="S56" s="36">
        <f t="shared" si="55"/>
        <v>42</v>
      </c>
      <c r="T56" s="36">
        <f t="shared" si="55"/>
        <v>2184</v>
      </c>
      <c r="U56" s="36">
        <f t="shared" si="55"/>
        <v>8760</v>
      </c>
      <c r="V56" s="36">
        <f t="shared" si="55"/>
        <v>8760</v>
      </c>
      <c r="W56" s="36">
        <f t="shared" si="55"/>
        <v>8760</v>
      </c>
      <c r="X56" s="36">
        <f t="shared" si="55"/>
        <v>8760</v>
      </c>
      <c r="Y56" s="36">
        <f t="shared" si="55"/>
        <v>8760</v>
      </c>
      <c r="Z56" s="36">
        <f t="shared" si="55"/>
        <v>8760</v>
      </c>
      <c r="AA56" s="36">
        <f t="shared" si="55"/>
        <v>273</v>
      </c>
      <c r="AB56" s="29"/>
    </row>
    <row r="57" spans="1:28">
      <c r="A57" s="34" t="s">
        <v>216</v>
      </c>
      <c r="B57" s="34" t="s">
        <v>211</v>
      </c>
      <c r="C57" s="34" t="s">
        <v>383</v>
      </c>
      <c r="D57" s="34" t="str">
        <f t="shared" si="0"/>
        <v>D1max</v>
      </c>
      <c r="E57" s="38" t="s">
        <v>334</v>
      </c>
      <c r="F57" s="36">
        <v>38.1</v>
      </c>
      <c r="G57" s="36">
        <v>30.13</v>
      </c>
      <c r="H57" s="36">
        <v>182.66</v>
      </c>
      <c r="I57" s="36">
        <v>181.86</v>
      </c>
      <c r="J57" s="36">
        <v>194.66</v>
      </c>
      <c r="K57" s="36">
        <v>0</v>
      </c>
      <c r="L57" s="36">
        <v>0</v>
      </c>
      <c r="M57" s="36">
        <v>0</v>
      </c>
      <c r="N57" s="36">
        <f t="shared" si="55"/>
        <v>12</v>
      </c>
      <c r="O57" s="36">
        <f t="shared" si="55"/>
        <v>0.1</v>
      </c>
      <c r="P57" s="36">
        <f t="shared" si="55"/>
        <v>15</v>
      </c>
      <c r="Q57" s="36">
        <f t="shared" si="55"/>
        <v>1.1200000000000001</v>
      </c>
      <c r="R57" s="36">
        <f t="shared" si="55"/>
        <v>10</v>
      </c>
      <c r="S57" s="36">
        <f t="shared" si="55"/>
        <v>42</v>
      </c>
      <c r="T57" s="36">
        <f t="shared" si="55"/>
        <v>2184</v>
      </c>
      <c r="U57" s="36">
        <f t="shared" si="55"/>
        <v>8760</v>
      </c>
      <c r="V57" s="36">
        <f t="shared" si="55"/>
        <v>8760</v>
      </c>
      <c r="W57" s="36">
        <f t="shared" si="55"/>
        <v>8760</v>
      </c>
      <c r="X57" s="36">
        <f t="shared" si="55"/>
        <v>8760</v>
      </c>
      <c r="Y57" s="36">
        <f t="shared" si="55"/>
        <v>8760</v>
      </c>
      <c r="Z57" s="36">
        <f t="shared" si="55"/>
        <v>8760</v>
      </c>
      <c r="AA57" s="36">
        <f t="shared" si="55"/>
        <v>273</v>
      </c>
      <c r="AB57" s="29"/>
    </row>
    <row r="58" spans="1:28">
      <c r="A58" s="34" t="s">
        <v>216</v>
      </c>
      <c r="B58" s="34" t="s">
        <v>212</v>
      </c>
      <c r="C58" s="34" t="s">
        <v>381</v>
      </c>
      <c r="D58" s="34" t="str">
        <f t="shared" si="0"/>
        <v>D2min</v>
      </c>
      <c r="E58" s="38" t="s">
        <v>335</v>
      </c>
      <c r="F58" s="36">
        <v>13.23</v>
      </c>
      <c r="G58" s="36">
        <v>17.63</v>
      </c>
      <c r="H58" s="36">
        <v>84.97</v>
      </c>
      <c r="I58" s="36">
        <v>86.68</v>
      </c>
      <c r="J58" s="36">
        <v>92.39</v>
      </c>
      <c r="K58" s="36">
        <v>0</v>
      </c>
      <c r="L58" s="36">
        <v>0</v>
      </c>
      <c r="M58" s="36">
        <v>0</v>
      </c>
      <c r="N58" s="36">
        <v>12</v>
      </c>
      <c r="O58" s="36">
        <v>0.1</v>
      </c>
      <c r="P58" s="36">
        <v>5</v>
      </c>
      <c r="Q58" s="36">
        <v>1.1200000000000001</v>
      </c>
      <c r="R58" s="36">
        <v>10</v>
      </c>
      <c r="S58" s="36">
        <v>42</v>
      </c>
      <c r="T58" s="36">
        <v>2184</v>
      </c>
      <c r="U58" s="36">
        <v>8760</v>
      </c>
      <c r="V58" s="36">
        <v>8760</v>
      </c>
      <c r="W58" s="36">
        <v>8760</v>
      </c>
      <c r="X58" s="36">
        <v>8760</v>
      </c>
      <c r="Y58" s="36">
        <v>8760</v>
      </c>
      <c r="Z58" s="36">
        <v>8760</v>
      </c>
      <c r="AA58" s="36">
        <v>273</v>
      </c>
      <c r="AB58" s="29"/>
    </row>
    <row r="59" spans="1:28">
      <c r="A59" s="34" t="s">
        <v>216</v>
      </c>
      <c r="B59" s="34" t="s">
        <v>212</v>
      </c>
      <c r="C59" s="34" t="s">
        <v>382</v>
      </c>
      <c r="D59" s="34" t="str">
        <f t="shared" si="0"/>
        <v>D2m</v>
      </c>
      <c r="E59" s="38" t="s">
        <v>335</v>
      </c>
      <c r="F59" s="36">
        <v>13.23</v>
      </c>
      <c r="G59" s="36">
        <v>21.97</v>
      </c>
      <c r="H59" s="36">
        <v>96.24</v>
      </c>
      <c r="I59" s="36">
        <v>98.11</v>
      </c>
      <c r="J59" s="36">
        <v>105.05</v>
      </c>
      <c r="K59" s="36">
        <v>0</v>
      </c>
      <c r="L59" s="36">
        <v>0</v>
      </c>
      <c r="M59" s="36">
        <v>0</v>
      </c>
      <c r="N59" s="36">
        <f t="shared" ref="N59:AA60" si="56">N58</f>
        <v>12</v>
      </c>
      <c r="O59" s="36">
        <f t="shared" si="56"/>
        <v>0.1</v>
      </c>
      <c r="P59" s="36">
        <f t="shared" si="56"/>
        <v>5</v>
      </c>
      <c r="Q59" s="36">
        <f t="shared" si="56"/>
        <v>1.1200000000000001</v>
      </c>
      <c r="R59" s="36">
        <f t="shared" si="56"/>
        <v>10</v>
      </c>
      <c r="S59" s="36">
        <f t="shared" si="56"/>
        <v>42</v>
      </c>
      <c r="T59" s="36">
        <f t="shared" si="56"/>
        <v>2184</v>
      </c>
      <c r="U59" s="36">
        <f t="shared" si="56"/>
        <v>8760</v>
      </c>
      <c r="V59" s="36">
        <f t="shared" si="56"/>
        <v>8760</v>
      </c>
      <c r="W59" s="36">
        <f t="shared" si="56"/>
        <v>8760</v>
      </c>
      <c r="X59" s="36">
        <f t="shared" si="56"/>
        <v>8760</v>
      </c>
      <c r="Y59" s="36">
        <f t="shared" si="56"/>
        <v>8760</v>
      </c>
      <c r="Z59" s="36">
        <f t="shared" si="56"/>
        <v>8760</v>
      </c>
      <c r="AA59" s="36">
        <f t="shared" si="56"/>
        <v>273</v>
      </c>
      <c r="AB59" s="29"/>
    </row>
    <row r="60" spans="1:28">
      <c r="A60" s="34" t="s">
        <v>216</v>
      </c>
      <c r="B60" s="34" t="s">
        <v>212</v>
      </c>
      <c r="C60" s="34" t="s">
        <v>383</v>
      </c>
      <c r="D60" s="34" t="str">
        <f t="shared" si="0"/>
        <v>D2max</v>
      </c>
      <c r="E60" s="38" t="s">
        <v>335</v>
      </c>
      <c r="F60" s="36">
        <v>13.23</v>
      </c>
      <c r="G60" s="36">
        <v>36.67</v>
      </c>
      <c r="H60" s="36">
        <v>116.7</v>
      </c>
      <c r="I60" s="36">
        <v>118.8</v>
      </c>
      <c r="J60" s="36">
        <v>127.99</v>
      </c>
      <c r="K60" s="36">
        <v>0</v>
      </c>
      <c r="L60" s="36">
        <v>0</v>
      </c>
      <c r="M60" s="36">
        <v>0</v>
      </c>
      <c r="N60" s="36">
        <f t="shared" si="56"/>
        <v>12</v>
      </c>
      <c r="O60" s="36">
        <f t="shared" si="56"/>
        <v>0.1</v>
      </c>
      <c r="P60" s="36">
        <f t="shared" si="56"/>
        <v>5</v>
      </c>
      <c r="Q60" s="36">
        <f t="shared" si="56"/>
        <v>1.1200000000000001</v>
      </c>
      <c r="R60" s="36">
        <f t="shared" si="56"/>
        <v>10</v>
      </c>
      <c r="S60" s="36">
        <f t="shared" si="56"/>
        <v>42</v>
      </c>
      <c r="T60" s="36">
        <f t="shared" si="56"/>
        <v>2184</v>
      </c>
      <c r="U60" s="36">
        <f t="shared" si="56"/>
        <v>8760</v>
      </c>
      <c r="V60" s="36">
        <f t="shared" si="56"/>
        <v>8760</v>
      </c>
      <c r="W60" s="36">
        <f t="shared" si="56"/>
        <v>8760</v>
      </c>
      <c r="X60" s="36">
        <f t="shared" si="56"/>
        <v>8760</v>
      </c>
      <c r="Y60" s="36">
        <f t="shared" si="56"/>
        <v>8760</v>
      </c>
      <c r="Z60" s="36">
        <f t="shared" si="56"/>
        <v>8760</v>
      </c>
      <c r="AA60" s="36">
        <f t="shared" si="56"/>
        <v>273</v>
      </c>
      <c r="AB60" s="29"/>
    </row>
    <row r="61" spans="1:28">
      <c r="A61" s="34" t="s">
        <v>216</v>
      </c>
      <c r="B61" s="34" t="s">
        <v>213</v>
      </c>
      <c r="C61" s="34" t="s">
        <v>381</v>
      </c>
      <c r="D61" s="34" t="str">
        <f t="shared" si="0"/>
        <v>D3min</v>
      </c>
      <c r="E61" s="38" t="s">
        <v>336</v>
      </c>
      <c r="F61" s="36">
        <v>13.23</v>
      </c>
      <c r="G61" s="36">
        <v>17.63</v>
      </c>
      <c r="H61" s="36">
        <v>56.38</v>
      </c>
      <c r="I61" s="36">
        <v>58.85</v>
      </c>
      <c r="J61" s="36">
        <v>62.42</v>
      </c>
      <c r="K61" s="36">
        <v>0</v>
      </c>
      <c r="L61" s="36">
        <v>0</v>
      </c>
      <c r="M61" s="36">
        <v>0</v>
      </c>
      <c r="N61" s="36">
        <v>12</v>
      </c>
      <c r="O61" s="36">
        <v>0.1</v>
      </c>
      <c r="P61" s="36">
        <v>5</v>
      </c>
      <c r="Q61" s="36">
        <v>1.1200000000000001</v>
      </c>
      <c r="R61" s="36">
        <v>10</v>
      </c>
      <c r="S61" s="36">
        <v>42</v>
      </c>
      <c r="T61" s="36">
        <v>2184</v>
      </c>
      <c r="U61" s="36">
        <v>2184</v>
      </c>
      <c r="V61" s="36">
        <v>2184</v>
      </c>
      <c r="W61" s="36">
        <v>2184</v>
      </c>
      <c r="X61" s="36">
        <v>2184</v>
      </c>
      <c r="Y61" s="36">
        <v>2184</v>
      </c>
      <c r="Z61" s="36">
        <v>2184</v>
      </c>
      <c r="AA61" s="36">
        <v>273</v>
      </c>
      <c r="AB61" s="29"/>
    </row>
    <row r="62" spans="1:28">
      <c r="A62" s="34" t="s">
        <v>216</v>
      </c>
      <c r="B62" s="34" t="s">
        <v>213</v>
      </c>
      <c r="C62" s="34" t="s">
        <v>382</v>
      </c>
      <c r="D62" s="34" t="str">
        <f t="shared" si="0"/>
        <v>D3m</v>
      </c>
      <c r="E62" s="38" t="s">
        <v>336</v>
      </c>
      <c r="F62" s="36">
        <v>13.23</v>
      </c>
      <c r="G62" s="36">
        <v>21.97</v>
      </c>
      <c r="H62" s="36">
        <v>64.53</v>
      </c>
      <c r="I62" s="36">
        <v>69.53</v>
      </c>
      <c r="J62" s="36">
        <v>71.55</v>
      </c>
      <c r="K62" s="36">
        <v>0</v>
      </c>
      <c r="L62" s="36">
        <v>0</v>
      </c>
      <c r="M62" s="36">
        <v>0</v>
      </c>
      <c r="N62" s="36">
        <f t="shared" ref="N62:AA63" si="57">N61</f>
        <v>12</v>
      </c>
      <c r="O62" s="36">
        <f t="shared" si="57"/>
        <v>0.1</v>
      </c>
      <c r="P62" s="36">
        <f t="shared" si="57"/>
        <v>5</v>
      </c>
      <c r="Q62" s="36">
        <f t="shared" si="57"/>
        <v>1.1200000000000001</v>
      </c>
      <c r="R62" s="36">
        <f t="shared" si="57"/>
        <v>10</v>
      </c>
      <c r="S62" s="36">
        <f t="shared" si="57"/>
        <v>42</v>
      </c>
      <c r="T62" s="36">
        <f t="shared" si="57"/>
        <v>2184</v>
      </c>
      <c r="U62" s="36">
        <f t="shared" si="57"/>
        <v>2184</v>
      </c>
      <c r="V62" s="36">
        <f t="shared" si="57"/>
        <v>2184</v>
      </c>
      <c r="W62" s="36">
        <f t="shared" si="57"/>
        <v>2184</v>
      </c>
      <c r="X62" s="36">
        <f t="shared" si="57"/>
        <v>2184</v>
      </c>
      <c r="Y62" s="36">
        <f t="shared" si="57"/>
        <v>2184</v>
      </c>
      <c r="Z62" s="36">
        <f t="shared" si="57"/>
        <v>2184</v>
      </c>
      <c r="AA62" s="36">
        <f t="shared" si="57"/>
        <v>273</v>
      </c>
      <c r="AB62" s="29"/>
    </row>
    <row r="63" spans="1:28">
      <c r="A63" s="34" t="s">
        <v>216</v>
      </c>
      <c r="B63" s="34" t="s">
        <v>213</v>
      </c>
      <c r="C63" s="34" t="s">
        <v>383</v>
      </c>
      <c r="D63" s="34" t="str">
        <f t="shared" si="0"/>
        <v>D3max</v>
      </c>
      <c r="E63" s="38" t="s">
        <v>336</v>
      </c>
      <c r="F63" s="36">
        <v>13.23</v>
      </c>
      <c r="G63" s="36">
        <v>30.67</v>
      </c>
      <c r="H63" s="36">
        <v>79.510000000000005</v>
      </c>
      <c r="I63" s="36">
        <v>82.97</v>
      </c>
      <c r="J63" s="36">
        <v>88.2</v>
      </c>
      <c r="K63" s="36">
        <v>0</v>
      </c>
      <c r="L63" s="36">
        <v>0</v>
      </c>
      <c r="M63" s="36">
        <v>0</v>
      </c>
      <c r="N63" s="36">
        <f t="shared" si="57"/>
        <v>12</v>
      </c>
      <c r="O63" s="36">
        <f t="shared" si="57"/>
        <v>0.1</v>
      </c>
      <c r="P63" s="36">
        <f t="shared" si="57"/>
        <v>5</v>
      </c>
      <c r="Q63" s="36">
        <f t="shared" si="57"/>
        <v>1.1200000000000001</v>
      </c>
      <c r="R63" s="36">
        <f t="shared" si="57"/>
        <v>10</v>
      </c>
      <c r="S63" s="36">
        <f t="shared" si="57"/>
        <v>42</v>
      </c>
      <c r="T63" s="36">
        <f t="shared" si="57"/>
        <v>2184</v>
      </c>
      <c r="U63" s="36">
        <f t="shared" si="57"/>
        <v>2184</v>
      </c>
      <c r="V63" s="36">
        <f t="shared" si="57"/>
        <v>2184</v>
      </c>
      <c r="W63" s="36">
        <f t="shared" si="57"/>
        <v>2184</v>
      </c>
      <c r="X63" s="36">
        <f t="shared" si="57"/>
        <v>2184</v>
      </c>
      <c r="Y63" s="36">
        <f t="shared" si="57"/>
        <v>2184</v>
      </c>
      <c r="Z63" s="36">
        <f t="shared" si="57"/>
        <v>2184</v>
      </c>
      <c r="AA63" s="36">
        <f t="shared" si="57"/>
        <v>273</v>
      </c>
      <c r="AB63" s="29"/>
    </row>
    <row r="64" spans="1:28">
      <c r="A64" s="34" t="s">
        <v>216</v>
      </c>
      <c r="B64" s="34" t="s">
        <v>214</v>
      </c>
      <c r="C64" s="34" t="s">
        <v>381</v>
      </c>
      <c r="D64" s="34" t="str">
        <f t="shared" si="0"/>
        <v>D4min</v>
      </c>
      <c r="E64" s="39" t="s">
        <v>217</v>
      </c>
      <c r="F64" s="36">
        <v>16.38</v>
      </c>
      <c r="G64" s="36">
        <v>15.11</v>
      </c>
      <c r="H64" s="36">
        <v>47.15</v>
      </c>
      <c r="I64" s="36">
        <v>47.78</v>
      </c>
      <c r="J64" s="36">
        <v>52.36</v>
      </c>
      <c r="K64" s="36">
        <v>0</v>
      </c>
      <c r="L64" s="36">
        <v>0</v>
      </c>
      <c r="M64" s="36">
        <v>0</v>
      </c>
      <c r="N64" s="36">
        <v>12</v>
      </c>
      <c r="O64" s="36">
        <v>0.15</v>
      </c>
      <c r="P64" s="36">
        <v>12</v>
      </c>
      <c r="Q64" s="36">
        <v>0.42</v>
      </c>
      <c r="R64" s="36">
        <v>10</v>
      </c>
      <c r="S64" s="36">
        <v>47.8</v>
      </c>
      <c r="T64" s="36">
        <v>2480</v>
      </c>
      <c r="U64" s="36">
        <v>2480</v>
      </c>
      <c r="V64" s="36">
        <v>2480</v>
      </c>
      <c r="W64" s="36">
        <v>2480</v>
      </c>
      <c r="X64" s="36">
        <v>2480</v>
      </c>
      <c r="Y64" s="36">
        <v>2480</v>
      </c>
      <c r="Z64" s="36">
        <v>2480</v>
      </c>
      <c r="AA64" s="36">
        <v>310</v>
      </c>
      <c r="AB64" s="29"/>
    </row>
    <row r="65" spans="1:28">
      <c r="A65" s="34" t="s">
        <v>216</v>
      </c>
      <c r="B65" s="34" t="s">
        <v>214</v>
      </c>
      <c r="C65" s="34" t="s">
        <v>382</v>
      </c>
      <c r="D65" s="34" t="str">
        <f t="shared" si="0"/>
        <v>D4m</v>
      </c>
      <c r="E65" s="39" t="s">
        <v>217</v>
      </c>
      <c r="F65" s="36">
        <v>16.38</v>
      </c>
      <c r="G65" s="36">
        <v>30.3</v>
      </c>
      <c r="H65" s="36">
        <v>53.94</v>
      </c>
      <c r="I65" s="36">
        <v>54.93</v>
      </c>
      <c r="J65" s="36">
        <v>60.02</v>
      </c>
      <c r="K65" s="36">
        <v>0</v>
      </c>
      <c r="L65" s="36">
        <v>0</v>
      </c>
      <c r="M65" s="36">
        <v>0</v>
      </c>
      <c r="N65" s="36">
        <f t="shared" ref="N65:AA66" si="58">N64</f>
        <v>12</v>
      </c>
      <c r="O65" s="36">
        <f t="shared" si="58"/>
        <v>0.15</v>
      </c>
      <c r="P65" s="36">
        <f t="shared" si="58"/>
        <v>12</v>
      </c>
      <c r="Q65" s="36">
        <f t="shared" si="58"/>
        <v>0.42</v>
      </c>
      <c r="R65" s="36">
        <f t="shared" si="58"/>
        <v>10</v>
      </c>
      <c r="S65" s="36">
        <f t="shared" si="58"/>
        <v>47.8</v>
      </c>
      <c r="T65" s="36">
        <f t="shared" si="58"/>
        <v>2480</v>
      </c>
      <c r="U65" s="36">
        <f t="shared" si="58"/>
        <v>2480</v>
      </c>
      <c r="V65" s="36">
        <f t="shared" si="58"/>
        <v>2480</v>
      </c>
      <c r="W65" s="36">
        <f t="shared" si="58"/>
        <v>2480</v>
      </c>
      <c r="X65" s="36">
        <f t="shared" si="58"/>
        <v>2480</v>
      </c>
      <c r="Y65" s="36">
        <f t="shared" si="58"/>
        <v>2480</v>
      </c>
      <c r="Z65" s="36">
        <f t="shared" si="58"/>
        <v>2480</v>
      </c>
      <c r="AA65" s="36">
        <f t="shared" si="58"/>
        <v>310</v>
      </c>
      <c r="AB65" s="29"/>
    </row>
    <row r="66" spans="1:28">
      <c r="A66" s="34" t="s">
        <v>216</v>
      </c>
      <c r="B66" s="34" t="s">
        <v>214</v>
      </c>
      <c r="C66" s="34" t="s">
        <v>383</v>
      </c>
      <c r="D66" s="34" t="str">
        <f t="shared" si="0"/>
        <v>D4max</v>
      </c>
      <c r="E66" s="39" t="s">
        <v>217</v>
      </c>
      <c r="F66" s="36">
        <v>16.38</v>
      </c>
      <c r="G66" s="36">
        <v>50.36</v>
      </c>
      <c r="H66" s="36">
        <v>66.92</v>
      </c>
      <c r="I66" s="36">
        <v>68.56</v>
      </c>
      <c r="J66" s="36">
        <v>74.67</v>
      </c>
      <c r="K66" s="36">
        <v>0</v>
      </c>
      <c r="L66" s="36">
        <v>0</v>
      </c>
      <c r="M66" s="36">
        <v>0</v>
      </c>
      <c r="N66" s="36">
        <f t="shared" si="58"/>
        <v>12</v>
      </c>
      <c r="O66" s="36">
        <f t="shared" si="58"/>
        <v>0.15</v>
      </c>
      <c r="P66" s="36">
        <f t="shared" si="58"/>
        <v>12</v>
      </c>
      <c r="Q66" s="36">
        <f t="shared" si="58"/>
        <v>0.42</v>
      </c>
      <c r="R66" s="36">
        <f t="shared" si="58"/>
        <v>10</v>
      </c>
      <c r="S66" s="36">
        <f t="shared" si="58"/>
        <v>47.8</v>
      </c>
      <c r="T66" s="36">
        <f t="shared" si="58"/>
        <v>2480</v>
      </c>
      <c r="U66" s="36">
        <f t="shared" si="58"/>
        <v>2480</v>
      </c>
      <c r="V66" s="36">
        <f t="shared" si="58"/>
        <v>2480</v>
      </c>
      <c r="W66" s="36">
        <f t="shared" si="58"/>
        <v>2480</v>
      </c>
      <c r="X66" s="36">
        <f t="shared" si="58"/>
        <v>2480</v>
      </c>
      <c r="Y66" s="36">
        <f t="shared" si="58"/>
        <v>2480</v>
      </c>
      <c r="Z66" s="36">
        <f t="shared" si="58"/>
        <v>2480</v>
      </c>
      <c r="AA66" s="36">
        <f t="shared" si="58"/>
        <v>310</v>
      </c>
      <c r="AB66" s="29"/>
    </row>
    <row r="67" spans="1:28">
      <c r="A67" s="34" t="s">
        <v>216</v>
      </c>
      <c r="B67" s="34" t="s">
        <v>215</v>
      </c>
      <c r="C67" s="34" t="s">
        <v>381</v>
      </c>
      <c r="D67" s="34" t="str">
        <f t="shared" si="0"/>
        <v>D5min</v>
      </c>
      <c r="E67" s="40" t="s">
        <v>218</v>
      </c>
      <c r="F67" s="36">
        <v>0</v>
      </c>
      <c r="G67" s="36">
        <v>11.97</v>
      </c>
      <c r="H67" s="36">
        <v>37.64</v>
      </c>
      <c r="I67" s="36">
        <v>38.409999999999997</v>
      </c>
      <c r="J67" s="36">
        <v>42.84</v>
      </c>
      <c r="K67" s="36">
        <v>0</v>
      </c>
      <c r="L67" s="36">
        <v>0</v>
      </c>
      <c r="M67" s="36">
        <v>0</v>
      </c>
      <c r="N67" s="36">
        <v>10</v>
      </c>
      <c r="O67" s="36">
        <v>0.03</v>
      </c>
      <c r="P67" s="36">
        <v>0</v>
      </c>
      <c r="Q67" s="36">
        <v>0.23</v>
      </c>
      <c r="R67" s="36">
        <v>15</v>
      </c>
      <c r="S67" s="36">
        <v>47.8</v>
      </c>
      <c r="T67" s="36">
        <v>2480</v>
      </c>
      <c r="U67" s="36">
        <v>2480</v>
      </c>
      <c r="V67" s="36">
        <v>2480</v>
      </c>
      <c r="W67" s="36">
        <v>2480</v>
      </c>
      <c r="X67" s="36">
        <v>2480</v>
      </c>
      <c r="Y67" s="36">
        <v>2480</v>
      </c>
      <c r="Z67" s="36">
        <v>2480</v>
      </c>
      <c r="AA67" s="36">
        <v>310</v>
      </c>
      <c r="AB67" s="29"/>
    </row>
    <row r="68" spans="1:28">
      <c r="A68" s="34" t="s">
        <v>216</v>
      </c>
      <c r="B68" s="34" t="s">
        <v>215</v>
      </c>
      <c r="C68" s="34" t="s">
        <v>382</v>
      </c>
      <c r="D68" s="34" t="str">
        <f t="shared" si="0"/>
        <v>D5m</v>
      </c>
      <c r="E68" s="40" t="s">
        <v>218</v>
      </c>
      <c r="F68" s="36">
        <v>0</v>
      </c>
      <c r="G68" s="36">
        <v>23.84</v>
      </c>
      <c r="H68" s="36">
        <v>42.84</v>
      </c>
      <c r="I68" s="36">
        <v>43.94</v>
      </c>
      <c r="J68" s="36">
        <v>49.13</v>
      </c>
      <c r="K68" s="36">
        <v>0</v>
      </c>
      <c r="L68" s="36">
        <v>0</v>
      </c>
      <c r="M68" s="36">
        <v>0</v>
      </c>
      <c r="N68" s="36">
        <f t="shared" ref="N68:AA69" si="59">N67</f>
        <v>10</v>
      </c>
      <c r="O68" s="36">
        <f t="shared" si="59"/>
        <v>0.03</v>
      </c>
      <c r="P68" s="36">
        <f t="shared" si="59"/>
        <v>0</v>
      </c>
      <c r="Q68" s="36">
        <f t="shared" si="59"/>
        <v>0.23</v>
      </c>
      <c r="R68" s="36">
        <f t="shared" si="59"/>
        <v>15</v>
      </c>
      <c r="S68" s="36">
        <f t="shared" si="59"/>
        <v>47.8</v>
      </c>
      <c r="T68" s="36">
        <f t="shared" si="59"/>
        <v>2480</v>
      </c>
      <c r="U68" s="36">
        <f t="shared" si="59"/>
        <v>2480</v>
      </c>
      <c r="V68" s="36">
        <f t="shared" si="59"/>
        <v>2480</v>
      </c>
      <c r="W68" s="36">
        <f t="shared" si="59"/>
        <v>2480</v>
      </c>
      <c r="X68" s="36">
        <f t="shared" si="59"/>
        <v>2480</v>
      </c>
      <c r="Y68" s="36">
        <f t="shared" si="59"/>
        <v>2480</v>
      </c>
      <c r="Z68" s="36">
        <f t="shared" si="59"/>
        <v>2480</v>
      </c>
      <c r="AA68" s="36">
        <f t="shared" si="59"/>
        <v>310</v>
      </c>
      <c r="AB68" s="29"/>
    </row>
    <row r="69" spans="1:28">
      <c r="A69" s="34" t="s">
        <v>216</v>
      </c>
      <c r="B69" s="34" t="s">
        <v>215</v>
      </c>
      <c r="C69" s="34" t="s">
        <v>383</v>
      </c>
      <c r="D69" s="34" t="str">
        <f t="shared" ref="D69:D132" si="60">B69&amp;C69</f>
        <v>D5max</v>
      </c>
      <c r="E69" s="40" t="s">
        <v>218</v>
      </c>
      <c r="F69" s="36">
        <v>0</v>
      </c>
      <c r="G69" s="36">
        <v>39.83</v>
      </c>
      <c r="H69" s="36">
        <v>52.89</v>
      </c>
      <c r="I69" s="36">
        <v>54.58</v>
      </c>
      <c r="J69" s="36">
        <v>61.07</v>
      </c>
      <c r="K69" s="36">
        <v>0</v>
      </c>
      <c r="L69" s="36">
        <v>0</v>
      </c>
      <c r="M69" s="36">
        <v>0</v>
      </c>
      <c r="N69" s="36">
        <f t="shared" si="59"/>
        <v>10</v>
      </c>
      <c r="O69" s="36">
        <f t="shared" si="59"/>
        <v>0.03</v>
      </c>
      <c r="P69" s="36">
        <f t="shared" si="59"/>
        <v>0</v>
      </c>
      <c r="Q69" s="36">
        <f t="shared" si="59"/>
        <v>0.23</v>
      </c>
      <c r="R69" s="36">
        <f t="shared" si="59"/>
        <v>15</v>
      </c>
      <c r="S69" s="36">
        <f t="shared" si="59"/>
        <v>47.8</v>
      </c>
      <c r="T69" s="36">
        <f t="shared" si="59"/>
        <v>2480</v>
      </c>
      <c r="U69" s="36">
        <f t="shared" si="59"/>
        <v>2480</v>
      </c>
      <c r="V69" s="36">
        <f t="shared" si="59"/>
        <v>2480</v>
      </c>
      <c r="W69" s="36">
        <f t="shared" si="59"/>
        <v>2480</v>
      </c>
      <c r="X69" s="36">
        <f t="shared" si="59"/>
        <v>2480</v>
      </c>
      <c r="Y69" s="36">
        <f t="shared" si="59"/>
        <v>2480</v>
      </c>
      <c r="Z69" s="36">
        <f t="shared" si="59"/>
        <v>2480</v>
      </c>
      <c r="AA69" s="36">
        <f t="shared" si="59"/>
        <v>310</v>
      </c>
      <c r="AB69" s="29"/>
    </row>
    <row r="70" spans="1:28">
      <c r="A70" s="34" t="s">
        <v>206</v>
      </c>
      <c r="B70" s="34" t="s">
        <v>207</v>
      </c>
      <c r="C70" s="34" t="s">
        <v>381</v>
      </c>
      <c r="D70" s="34" t="str">
        <f t="shared" si="60"/>
        <v>E1min</v>
      </c>
      <c r="E70" s="39" t="s">
        <v>337</v>
      </c>
      <c r="F70" s="36">
        <v>13.56</v>
      </c>
      <c r="G70" s="36">
        <v>17.829999999999998</v>
      </c>
      <c r="H70" s="36">
        <v>51.47</v>
      </c>
      <c r="I70" s="36">
        <v>52.8</v>
      </c>
      <c r="J70" s="36">
        <v>56.05</v>
      </c>
      <c r="K70" s="36">
        <v>0</v>
      </c>
      <c r="L70" s="36">
        <v>0</v>
      </c>
      <c r="M70" s="36">
        <v>0</v>
      </c>
      <c r="N70" s="36">
        <v>12</v>
      </c>
      <c r="O70" s="36">
        <v>0.1</v>
      </c>
      <c r="P70" s="36">
        <v>15</v>
      </c>
      <c r="Q70" s="36">
        <v>0.21</v>
      </c>
      <c r="R70" s="36">
        <v>10</v>
      </c>
      <c r="S70" s="36">
        <v>42</v>
      </c>
      <c r="T70" s="36">
        <v>2184</v>
      </c>
      <c r="U70" s="36">
        <v>2184</v>
      </c>
      <c r="V70" s="36">
        <v>2184</v>
      </c>
      <c r="W70" s="36">
        <v>2184</v>
      </c>
      <c r="X70" s="36">
        <v>2184</v>
      </c>
      <c r="Y70" s="36">
        <v>2184</v>
      </c>
      <c r="Z70" s="36">
        <v>2184</v>
      </c>
      <c r="AA70" s="36">
        <v>273</v>
      </c>
      <c r="AB70" s="29"/>
    </row>
    <row r="71" spans="1:28">
      <c r="A71" s="34" t="s">
        <v>206</v>
      </c>
      <c r="B71" s="34" t="s">
        <v>207</v>
      </c>
      <c r="C71" s="34" t="s">
        <v>382</v>
      </c>
      <c r="D71" s="34" t="str">
        <f t="shared" si="60"/>
        <v>E1m</v>
      </c>
      <c r="E71" s="39" t="s">
        <v>337</v>
      </c>
      <c r="F71" s="36">
        <v>13.56</v>
      </c>
      <c r="G71" s="36">
        <v>35.71</v>
      </c>
      <c r="H71" s="36">
        <v>61.85</v>
      </c>
      <c r="I71" s="36">
        <v>64.27</v>
      </c>
      <c r="J71" s="36">
        <v>68.81</v>
      </c>
      <c r="K71" s="36">
        <v>0</v>
      </c>
      <c r="L71" s="36">
        <v>0</v>
      </c>
      <c r="M71" s="36">
        <v>0</v>
      </c>
      <c r="N71" s="36">
        <f t="shared" ref="N71:AA72" si="61">N70</f>
        <v>12</v>
      </c>
      <c r="O71" s="36">
        <f t="shared" si="61"/>
        <v>0.1</v>
      </c>
      <c r="P71" s="36">
        <f t="shared" si="61"/>
        <v>15</v>
      </c>
      <c r="Q71" s="36">
        <f t="shared" si="61"/>
        <v>0.21</v>
      </c>
      <c r="R71" s="36">
        <f t="shared" si="61"/>
        <v>10</v>
      </c>
      <c r="S71" s="36">
        <f t="shared" si="61"/>
        <v>42</v>
      </c>
      <c r="T71" s="36">
        <f t="shared" si="61"/>
        <v>2184</v>
      </c>
      <c r="U71" s="36">
        <f t="shared" si="61"/>
        <v>2184</v>
      </c>
      <c r="V71" s="36">
        <f t="shared" si="61"/>
        <v>2184</v>
      </c>
      <c r="W71" s="36">
        <f t="shared" si="61"/>
        <v>2184</v>
      </c>
      <c r="X71" s="36">
        <f t="shared" si="61"/>
        <v>2184</v>
      </c>
      <c r="Y71" s="36">
        <f t="shared" si="61"/>
        <v>2184</v>
      </c>
      <c r="Z71" s="36">
        <f t="shared" si="61"/>
        <v>2184</v>
      </c>
      <c r="AA71" s="36">
        <f t="shared" si="61"/>
        <v>273</v>
      </c>
      <c r="AB71" s="29"/>
    </row>
    <row r="72" spans="1:28">
      <c r="A72" s="34" t="s">
        <v>206</v>
      </c>
      <c r="B72" s="34" t="s">
        <v>207</v>
      </c>
      <c r="C72" s="34" t="s">
        <v>383</v>
      </c>
      <c r="D72" s="34" t="str">
        <f t="shared" si="60"/>
        <v>E1max</v>
      </c>
      <c r="E72" s="39" t="s">
        <v>337</v>
      </c>
      <c r="F72" s="36">
        <v>13.56</v>
      </c>
      <c r="G72" s="36">
        <v>59.4</v>
      </c>
      <c r="H72" s="36">
        <v>78.37</v>
      </c>
      <c r="I72" s="36">
        <v>81.93</v>
      </c>
      <c r="J72" s="36">
        <v>87.88</v>
      </c>
      <c r="K72" s="36">
        <v>0</v>
      </c>
      <c r="L72" s="36">
        <v>0</v>
      </c>
      <c r="M72" s="36">
        <v>0</v>
      </c>
      <c r="N72" s="36">
        <f t="shared" si="61"/>
        <v>12</v>
      </c>
      <c r="O72" s="36">
        <f t="shared" si="61"/>
        <v>0.1</v>
      </c>
      <c r="P72" s="36">
        <f t="shared" si="61"/>
        <v>15</v>
      </c>
      <c r="Q72" s="36">
        <f t="shared" si="61"/>
        <v>0.21</v>
      </c>
      <c r="R72" s="36">
        <f t="shared" si="61"/>
        <v>10</v>
      </c>
      <c r="S72" s="36">
        <f t="shared" si="61"/>
        <v>42</v>
      </c>
      <c r="T72" s="36">
        <f t="shared" si="61"/>
        <v>2184</v>
      </c>
      <c r="U72" s="36">
        <f t="shared" si="61"/>
        <v>2184</v>
      </c>
      <c r="V72" s="36">
        <f t="shared" si="61"/>
        <v>2184</v>
      </c>
      <c r="W72" s="36">
        <f t="shared" si="61"/>
        <v>2184</v>
      </c>
      <c r="X72" s="36">
        <f t="shared" si="61"/>
        <v>2184</v>
      </c>
      <c r="Y72" s="36">
        <f t="shared" si="61"/>
        <v>2184</v>
      </c>
      <c r="Z72" s="36">
        <f t="shared" si="61"/>
        <v>2184</v>
      </c>
      <c r="AA72" s="36">
        <f t="shared" si="61"/>
        <v>273</v>
      </c>
      <c r="AB72" s="29"/>
    </row>
    <row r="73" spans="1:28">
      <c r="A73" s="34" t="s">
        <v>206</v>
      </c>
      <c r="B73" s="34" t="s">
        <v>208</v>
      </c>
      <c r="C73" s="34" t="s">
        <v>381</v>
      </c>
      <c r="D73" s="34" t="str">
        <f t="shared" si="60"/>
        <v>E2min</v>
      </c>
      <c r="E73" s="39" t="s">
        <v>219</v>
      </c>
      <c r="F73" s="36">
        <v>17.39</v>
      </c>
      <c r="G73" s="36">
        <v>12.05</v>
      </c>
      <c r="H73" s="36">
        <v>33.67</v>
      </c>
      <c r="I73" s="36">
        <v>39.22</v>
      </c>
      <c r="J73" s="36">
        <v>40.340000000000003</v>
      </c>
      <c r="K73" s="36">
        <v>0</v>
      </c>
      <c r="L73" s="36">
        <v>0</v>
      </c>
      <c r="M73" s="36">
        <v>0</v>
      </c>
      <c r="N73" s="36">
        <v>12</v>
      </c>
      <c r="O73" s="36">
        <v>0.15</v>
      </c>
      <c r="P73" s="36">
        <v>10</v>
      </c>
      <c r="Q73" s="36">
        <v>0.42</v>
      </c>
      <c r="R73" s="36">
        <v>10</v>
      </c>
      <c r="S73" s="36">
        <v>47.8</v>
      </c>
      <c r="T73" s="36">
        <v>2480</v>
      </c>
      <c r="U73" s="36">
        <v>2790</v>
      </c>
      <c r="V73" s="36">
        <v>2790</v>
      </c>
      <c r="W73" s="36">
        <v>2790</v>
      </c>
      <c r="X73" s="36">
        <v>2790</v>
      </c>
      <c r="Y73" s="36">
        <v>2790</v>
      </c>
      <c r="Z73" s="36">
        <v>2790</v>
      </c>
      <c r="AA73" s="36">
        <v>310</v>
      </c>
      <c r="AB73" s="29"/>
    </row>
    <row r="74" spans="1:28">
      <c r="A74" s="34" t="s">
        <v>206</v>
      </c>
      <c r="B74" s="34" t="s">
        <v>208</v>
      </c>
      <c r="C74" s="34" t="s">
        <v>382</v>
      </c>
      <c r="D74" s="34" t="str">
        <f t="shared" si="60"/>
        <v>E2m</v>
      </c>
      <c r="E74" s="39" t="s">
        <v>219</v>
      </c>
      <c r="F74" s="36">
        <v>17.39</v>
      </c>
      <c r="G74" s="36">
        <v>24.01</v>
      </c>
      <c r="H74" s="36">
        <v>43.53</v>
      </c>
      <c r="I74" s="36">
        <v>50.85</v>
      </c>
      <c r="J74" s="36">
        <v>52.55</v>
      </c>
      <c r="K74" s="36">
        <v>0</v>
      </c>
      <c r="L74" s="36">
        <v>0</v>
      </c>
      <c r="M74" s="36">
        <v>0</v>
      </c>
      <c r="N74" s="36">
        <f t="shared" ref="N74:AA75" si="62">N73</f>
        <v>12</v>
      </c>
      <c r="O74" s="36">
        <f t="shared" si="62"/>
        <v>0.15</v>
      </c>
      <c r="P74" s="36">
        <f t="shared" si="62"/>
        <v>10</v>
      </c>
      <c r="Q74" s="36">
        <f t="shared" si="62"/>
        <v>0.42</v>
      </c>
      <c r="R74" s="36">
        <f t="shared" si="62"/>
        <v>10</v>
      </c>
      <c r="S74" s="36">
        <f t="shared" si="62"/>
        <v>47.8</v>
      </c>
      <c r="T74" s="36">
        <f t="shared" si="62"/>
        <v>2480</v>
      </c>
      <c r="U74" s="36">
        <f t="shared" si="62"/>
        <v>2790</v>
      </c>
      <c r="V74" s="36">
        <f t="shared" si="62"/>
        <v>2790</v>
      </c>
      <c r="W74" s="36">
        <f t="shared" si="62"/>
        <v>2790</v>
      </c>
      <c r="X74" s="36">
        <f t="shared" si="62"/>
        <v>2790</v>
      </c>
      <c r="Y74" s="36">
        <f t="shared" si="62"/>
        <v>2790</v>
      </c>
      <c r="Z74" s="36">
        <f t="shared" si="62"/>
        <v>2790</v>
      </c>
      <c r="AA74" s="36">
        <f t="shared" si="62"/>
        <v>310</v>
      </c>
      <c r="AB74" s="29"/>
    </row>
    <row r="75" spans="1:28">
      <c r="A75" s="34" t="s">
        <v>206</v>
      </c>
      <c r="B75" s="34" t="s">
        <v>208</v>
      </c>
      <c r="C75" s="34" t="s">
        <v>383</v>
      </c>
      <c r="D75" s="34" t="str">
        <f t="shared" si="60"/>
        <v>E2max</v>
      </c>
      <c r="E75" s="39" t="s">
        <v>219</v>
      </c>
      <c r="F75" s="36">
        <v>17.39</v>
      </c>
      <c r="G75" s="36">
        <v>40.119999999999997</v>
      </c>
      <c r="H75" s="36">
        <v>56.41</v>
      </c>
      <c r="I75" s="36">
        <v>66.040000000000006</v>
      </c>
      <c r="J75" s="36">
        <v>68.459999999999994</v>
      </c>
      <c r="K75" s="36">
        <v>0</v>
      </c>
      <c r="L75" s="36">
        <v>0</v>
      </c>
      <c r="M75" s="36">
        <v>0</v>
      </c>
      <c r="N75" s="36">
        <f t="shared" si="62"/>
        <v>12</v>
      </c>
      <c r="O75" s="36">
        <f t="shared" si="62"/>
        <v>0.15</v>
      </c>
      <c r="P75" s="36">
        <f t="shared" si="62"/>
        <v>10</v>
      </c>
      <c r="Q75" s="36">
        <f t="shared" si="62"/>
        <v>0.42</v>
      </c>
      <c r="R75" s="36">
        <f t="shared" si="62"/>
        <v>10</v>
      </c>
      <c r="S75" s="36">
        <f t="shared" si="62"/>
        <v>47.8</v>
      </c>
      <c r="T75" s="36">
        <f t="shared" si="62"/>
        <v>2480</v>
      </c>
      <c r="U75" s="36">
        <f t="shared" si="62"/>
        <v>2790</v>
      </c>
      <c r="V75" s="36">
        <f t="shared" si="62"/>
        <v>2790</v>
      </c>
      <c r="W75" s="36">
        <f t="shared" si="62"/>
        <v>2790</v>
      </c>
      <c r="X75" s="36">
        <f t="shared" si="62"/>
        <v>2790</v>
      </c>
      <c r="Y75" s="36">
        <f t="shared" si="62"/>
        <v>2790</v>
      </c>
      <c r="Z75" s="36">
        <f t="shared" si="62"/>
        <v>2790</v>
      </c>
      <c r="AA75" s="36">
        <f t="shared" si="62"/>
        <v>310</v>
      </c>
      <c r="AB75" s="29"/>
    </row>
    <row r="76" spans="1:28">
      <c r="A76" s="34" t="s">
        <v>206</v>
      </c>
      <c r="B76" s="34" t="s">
        <v>209</v>
      </c>
      <c r="C76" s="34" t="s">
        <v>381</v>
      </c>
      <c r="D76" s="34" t="str">
        <f t="shared" si="60"/>
        <v>E3min</v>
      </c>
      <c r="E76" s="39" t="s">
        <v>218</v>
      </c>
      <c r="F76" s="36">
        <v>1.73</v>
      </c>
      <c r="G76" s="36">
        <v>18.41</v>
      </c>
      <c r="H76" s="36">
        <v>42.83</v>
      </c>
      <c r="I76" s="36">
        <v>46.15</v>
      </c>
      <c r="J76" s="36">
        <v>47.21</v>
      </c>
      <c r="K76" s="36">
        <v>0</v>
      </c>
      <c r="L76" s="36">
        <v>0</v>
      </c>
      <c r="M76" s="36">
        <v>0</v>
      </c>
      <c r="N76" s="36">
        <v>10</v>
      </c>
      <c r="O76" s="36">
        <v>0.03</v>
      </c>
      <c r="P76" s="36">
        <v>15</v>
      </c>
      <c r="Q76" s="36">
        <v>0.23</v>
      </c>
      <c r="R76" s="36">
        <v>15</v>
      </c>
      <c r="S76" s="36">
        <v>47.8</v>
      </c>
      <c r="T76" s="36">
        <v>2480</v>
      </c>
      <c r="U76" s="36">
        <v>2790</v>
      </c>
      <c r="V76" s="36">
        <v>2790</v>
      </c>
      <c r="W76" s="36">
        <v>2790</v>
      </c>
      <c r="X76" s="36">
        <v>2790</v>
      </c>
      <c r="Y76" s="36">
        <v>2790</v>
      </c>
      <c r="Z76" s="36">
        <v>2790</v>
      </c>
      <c r="AA76" s="36">
        <v>310</v>
      </c>
      <c r="AB76" s="29"/>
    </row>
    <row r="77" spans="1:28">
      <c r="A77" s="34" t="s">
        <v>206</v>
      </c>
      <c r="B77" s="34" t="s">
        <v>209</v>
      </c>
      <c r="C77" s="34" t="s">
        <v>382</v>
      </c>
      <c r="D77" s="34" t="str">
        <f t="shared" si="60"/>
        <v>E3m</v>
      </c>
      <c r="E77" s="39" t="s">
        <v>218</v>
      </c>
      <c r="F77" s="36">
        <v>1.73</v>
      </c>
      <c r="G77" s="36">
        <v>36.85</v>
      </c>
      <c r="H77" s="36">
        <v>53.24</v>
      </c>
      <c r="I77" s="36">
        <v>57.81</v>
      </c>
      <c r="J77" s="36">
        <v>59.91</v>
      </c>
      <c r="K77" s="36">
        <v>0</v>
      </c>
      <c r="L77" s="36">
        <v>0</v>
      </c>
      <c r="M77" s="36">
        <v>0</v>
      </c>
      <c r="N77" s="36">
        <f t="shared" ref="N77:AA78" si="63">N76</f>
        <v>10</v>
      </c>
      <c r="O77" s="36">
        <f t="shared" si="63"/>
        <v>0.03</v>
      </c>
      <c r="P77" s="36">
        <f t="shared" si="63"/>
        <v>15</v>
      </c>
      <c r="Q77" s="36">
        <f t="shared" si="63"/>
        <v>0.23</v>
      </c>
      <c r="R77" s="36">
        <f t="shared" si="63"/>
        <v>15</v>
      </c>
      <c r="S77" s="36">
        <f t="shared" si="63"/>
        <v>47.8</v>
      </c>
      <c r="T77" s="36">
        <f t="shared" si="63"/>
        <v>2480</v>
      </c>
      <c r="U77" s="36">
        <f t="shared" si="63"/>
        <v>2790</v>
      </c>
      <c r="V77" s="36">
        <f t="shared" si="63"/>
        <v>2790</v>
      </c>
      <c r="W77" s="36">
        <f t="shared" si="63"/>
        <v>2790</v>
      </c>
      <c r="X77" s="36">
        <f t="shared" si="63"/>
        <v>2790</v>
      </c>
      <c r="Y77" s="36">
        <f t="shared" si="63"/>
        <v>2790</v>
      </c>
      <c r="Z77" s="36">
        <f t="shared" si="63"/>
        <v>2790</v>
      </c>
      <c r="AA77" s="36">
        <f t="shared" si="63"/>
        <v>310</v>
      </c>
      <c r="AB77" s="29"/>
    </row>
    <row r="78" spans="1:28">
      <c r="A78" s="34" t="s">
        <v>206</v>
      </c>
      <c r="B78" s="34" t="s">
        <v>209</v>
      </c>
      <c r="C78" s="34" t="s">
        <v>383</v>
      </c>
      <c r="D78" s="34" t="str">
        <f t="shared" si="60"/>
        <v>E3max</v>
      </c>
      <c r="E78" s="39" t="s">
        <v>218</v>
      </c>
      <c r="F78" s="36">
        <v>1.73</v>
      </c>
      <c r="G78" s="36">
        <v>61.3</v>
      </c>
      <c r="H78" s="36">
        <v>67.540000000000006</v>
      </c>
      <c r="I78" s="36">
        <v>73.849999999999994</v>
      </c>
      <c r="J78" s="36">
        <v>77.27</v>
      </c>
      <c r="K78" s="36">
        <v>0</v>
      </c>
      <c r="L78" s="36">
        <v>0</v>
      </c>
      <c r="M78" s="36">
        <v>0</v>
      </c>
      <c r="N78" s="36">
        <f t="shared" si="63"/>
        <v>10</v>
      </c>
      <c r="O78" s="36">
        <f t="shared" si="63"/>
        <v>0.03</v>
      </c>
      <c r="P78" s="36">
        <f t="shared" si="63"/>
        <v>15</v>
      </c>
      <c r="Q78" s="36">
        <f t="shared" si="63"/>
        <v>0.23</v>
      </c>
      <c r="R78" s="36">
        <f t="shared" si="63"/>
        <v>15</v>
      </c>
      <c r="S78" s="36">
        <f t="shared" si="63"/>
        <v>47.8</v>
      </c>
      <c r="T78" s="36">
        <f t="shared" si="63"/>
        <v>2480</v>
      </c>
      <c r="U78" s="36">
        <f t="shared" si="63"/>
        <v>2790</v>
      </c>
      <c r="V78" s="36">
        <f t="shared" si="63"/>
        <v>2790</v>
      </c>
      <c r="W78" s="36">
        <f t="shared" si="63"/>
        <v>2790</v>
      </c>
      <c r="X78" s="36">
        <f t="shared" si="63"/>
        <v>2790</v>
      </c>
      <c r="Y78" s="36">
        <f t="shared" si="63"/>
        <v>2790</v>
      </c>
      <c r="Z78" s="36">
        <f t="shared" si="63"/>
        <v>2790</v>
      </c>
      <c r="AA78" s="36">
        <f t="shared" si="63"/>
        <v>310</v>
      </c>
      <c r="AB78" s="29"/>
    </row>
    <row r="79" spans="1:28">
      <c r="A79" s="34" t="s">
        <v>243</v>
      </c>
      <c r="B79" s="34" t="s">
        <v>210</v>
      </c>
      <c r="C79" s="34" t="s">
        <v>381</v>
      </c>
      <c r="D79" s="34" t="str">
        <f t="shared" si="60"/>
        <v>F1min</v>
      </c>
      <c r="E79" s="41" t="s">
        <v>236</v>
      </c>
      <c r="F79" s="36">
        <v>3.1</v>
      </c>
      <c r="G79" s="36">
        <v>6.9</v>
      </c>
      <c r="H79" s="36">
        <v>39.81</v>
      </c>
      <c r="I79" s="36">
        <v>41.85</v>
      </c>
      <c r="J79" s="36">
        <v>44.17</v>
      </c>
      <c r="K79" s="36">
        <v>0</v>
      </c>
      <c r="L79" s="36">
        <v>0</v>
      </c>
      <c r="M79" s="36">
        <v>0</v>
      </c>
      <c r="N79" s="36">
        <v>15</v>
      </c>
      <c r="O79" s="36">
        <v>1</v>
      </c>
      <c r="P79" s="36">
        <v>6</v>
      </c>
      <c r="Q79" s="36">
        <v>2.83</v>
      </c>
      <c r="R79" s="36">
        <v>10</v>
      </c>
      <c r="S79" s="36">
        <v>18</v>
      </c>
      <c r="T79" s="36">
        <v>936</v>
      </c>
      <c r="U79" s="36">
        <v>936</v>
      </c>
      <c r="V79" s="36">
        <v>936</v>
      </c>
      <c r="W79" s="36">
        <v>936</v>
      </c>
      <c r="X79" s="36">
        <v>936</v>
      </c>
      <c r="Y79" s="36">
        <v>936</v>
      </c>
      <c r="Z79" s="36">
        <v>936</v>
      </c>
      <c r="AA79" s="36">
        <v>104</v>
      </c>
      <c r="AB79" s="29"/>
    </row>
    <row r="80" spans="1:28">
      <c r="A80" s="34" t="s">
        <v>243</v>
      </c>
      <c r="B80" s="34" t="str">
        <f t="shared" ref="B80:B81" si="64">B79</f>
        <v>F1</v>
      </c>
      <c r="C80" s="34" t="s">
        <v>382</v>
      </c>
      <c r="D80" s="34" t="str">
        <f t="shared" si="60"/>
        <v>F1m</v>
      </c>
      <c r="E80" s="37" t="str">
        <f t="shared" ref="E80:E81" si="65">E79</f>
        <v>200人以上體育館、大會議與其專屬大廳</v>
      </c>
      <c r="F80" s="36">
        <v>3.1</v>
      </c>
      <c r="G80" s="36">
        <v>13.84</v>
      </c>
      <c r="H80" s="36">
        <v>47.82</v>
      </c>
      <c r="I80" s="36">
        <v>50.68</v>
      </c>
      <c r="J80" s="36">
        <v>54.15</v>
      </c>
      <c r="K80" s="36">
        <v>0</v>
      </c>
      <c r="L80" s="36">
        <v>0</v>
      </c>
      <c r="M80" s="36">
        <v>0</v>
      </c>
      <c r="N80" s="36">
        <f t="shared" ref="N80:AA81" si="66">N79</f>
        <v>15</v>
      </c>
      <c r="O80" s="36">
        <f t="shared" si="66"/>
        <v>1</v>
      </c>
      <c r="P80" s="36">
        <f t="shared" si="66"/>
        <v>6</v>
      </c>
      <c r="Q80" s="36">
        <f t="shared" si="66"/>
        <v>2.83</v>
      </c>
      <c r="R80" s="36">
        <f t="shared" si="66"/>
        <v>10</v>
      </c>
      <c r="S80" s="36">
        <f t="shared" si="66"/>
        <v>18</v>
      </c>
      <c r="T80" s="36">
        <f t="shared" si="66"/>
        <v>936</v>
      </c>
      <c r="U80" s="36">
        <f t="shared" si="66"/>
        <v>936</v>
      </c>
      <c r="V80" s="36">
        <f t="shared" si="66"/>
        <v>936</v>
      </c>
      <c r="W80" s="36">
        <f t="shared" si="66"/>
        <v>936</v>
      </c>
      <c r="X80" s="36">
        <f t="shared" si="66"/>
        <v>936</v>
      </c>
      <c r="Y80" s="36">
        <f t="shared" si="66"/>
        <v>936</v>
      </c>
      <c r="Z80" s="36">
        <f t="shared" si="66"/>
        <v>936</v>
      </c>
      <c r="AA80" s="36">
        <f t="shared" si="66"/>
        <v>104</v>
      </c>
      <c r="AB80" s="29"/>
    </row>
    <row r="81" spans="1:28">
      <c r="A81" s="34" t="s">
        <v>243</v>
      </c>
      <c r="B81" s="34" t="str">
        <f t="shared" si="64"/>
        <v>F1</v>
      </c>
      <c r="C81" s="34" t="s">
        <v>383</v>
      </c>
      <c r="D81" s="34" t="str">
        <f t="shared" si="60"/>
        <v>F1max</v>
      </c>
      <c r="E81" s="37" t="str">
        <f t="shared" si="65"/>
        <v>200人以上體育館、大會議與其專屬大廳</v>
      </c>
      <c r="F81" s="36">
        <v>3.1</v>
      </c>
      <c r="G81" s="36">
        <v>23.03</v>
      </c>
      <c r="H81" s="36">
        <v>57.82</v>
      </c>
      <c r="I81" s="36">
        <v>61.68</v>
      </c>
      <c r="J81" s="36">
        <v>66.34</v>
      </c>
      <c r="K81" s="36">
        <v>0</v>
      </c>
      <c r="L81" s="36">
        <v>0</v>
      </c>
      <c r="M81" s="36">
        <v>0</v>
      </c>
      <c r="N81" s="36">
        <f t="shared" si="66"/>
        <v>15</v>
      </c>
      <c r="O81" s="36">
        <f t="shared" si="66"/>
        <v>1</v>
      </c>
      <c r="P81" s="36">
        <f t="shared" si="66"/>
        <v>6</v>
      </c>
      <c r="Q81" s="36">
        <f t="shared" si="66"/>
        <v>2.83</v>
      </c>
      <c r="R81" s="36">
        <f t="shared" si="66"/>
        <v>10</v>
      </c>
      <c r="S81" s="36">
        <f t="shared" si="66"/>
        <v>18</v>
      </c>
      <c r="T81" s="36">
        <f t="shared" si="66"/>
        <v>936</v>
      </c>
      <c r="U81" s="36">
        <f t="shared" si="66"/>
        <v>936</v>
      </c>
      <c r="V81" s="36">
        <f t="shared" si="66"/>
        <v>936</v>
      </c>
      <c r="W81" s="36">
        <f t="shared" si="66"/>
        <v>936</v>
      </c>
      <c r="X81" s="36">
        <f t="shared" si="66"/>
        <v>936</v>
      </c>
      <c r="Y81" s="36">
        <f t="shared" si="66"/>
        <v>936</v>
      </c>
      <c r="Z81" s="36">
        <f t="shared" si="66"/>
        <v>936</v>
      </c>
      <c r="AA81" s="36">
        <f t="shared" si="66"/>
        <v>104</v>
      </c>
      <c r="AB81" s="29"/>
    </row>
    <row r="82" spans="1:28">
      <c r="A82" s="34" t="s">
        <v>243</v>
      </c>
      <c r="B82" s="34" t="s">
        <v>221</v>
      </c>
      <c r="C82" s="34" t="s">
        <v>381</v>
      </c>
      <c r="D82" s="34" t="str">
        <f t="shared" si="60"/>
        <v>F2min</v>
      </c>
      <c r="E82" s="37" t="s">
        <v>237</v>
      </c>
      <c r="F82" s="36">
        <v>3.27</v>
      </c>
      <c r="G82" s="36">
        <v>8.1199999999999992</v>
      </c>
      <c r="H82" s="36">
        <v>31</v>
      </c>
      <c r="I82" s="36">
        <v>31.08</v>
      </c>
      <c r="J82" s="36">
        <v>34.92</v>
      </c>
      <c r="K82" s="36">
        <v>0</v>
      </c>
      <c r="L82" s="36">
        <v>0</v>
      </c>
      <c r="M82" s="36">
        <v>0</v>
      </c>
      <c r="N82" s="36">
        <v>15</v>
      </c>
      <c r="O82" s="36">
        <v>1</v>
      </c>
      <c r="P82" s="36">
        <v>6</v>
      </c>
      <c r="Q82" s="36">
        <v>2.83</v>
      </c>
      <c r="R82" s="36">
        <v>10</v>
      </c>
      <c r="S82" s="36">
        <v>18</v>
      </c>
      <c r="T82" s="36">
        <v>936</v>
      </c>
      <c r="U82" s="36">
        <v>936</v>
      </c>
      <c r="V82" s="36">
        <v>936</v>
      </c>
      <c r="W82" s="36">
        <v>936</v>
      </c>
      <c r="X82" s="36">
        <v>936</v>
      </c>
      <c r="Y82" s="36">
        <v>936</v>
      </c>
      <c r="Z82" s="36">
        <v>936</v>
      </c>
      <c r="AA82" s="36">
        <v>104</v>
      </c>
      <c r="AB82" s="29"/>
    </row>
    <row r="83" spans="1:28">
      <c r="A83" s="34" t="s">
        <v>243</v>
      </c>
      <c r="B83" s="34" t="str">
        <f t="shared" ref="B83:B84" si="67">B82</f>
        <v>F2</v>
      </c>
      <c r="C83" s="34" t="s">
        <v>382</v>
      </c>
      <c r="D83" s="34" t="str">
        <f t="shared" si="60"/>
        <v>F2m</v>
      </c>
      <c r="E83" s="37" t="str">
        <f t="shared" ref="E83:E84" si="68">E82</f>
        <v>少於200人之體育館、中小型會議或藝文教室與其專屬門走廊</v>
      </c>
      <c r="F83" s="36">
        <v>3.27</v>
      </c>
      <c r="G83" s="36">
        <v>16.28</v>
      </c>
      <c r="H83" s="36">
        <v>38.79</v>
      </c>
      <c r="I83" s="36">
        <v>39.119999999999997</v>
      </c>
      <c r="J83" s="36">
        <v>44.19</v>
      </c>
      <c r="K83" s="36">
        <v>0</v>
      </c>
      <c r="L83" s="36">
        <v>0</v>
      </c>
      <c r="M83" s="36">
        <v>0</v>
      </c>
      <c r="N83" s="36">
        <f t="shared" ref="N83:AA84" si="69">N82</f>
        <v>15</v>
      </c>
      <c r="O83" s="36">
        <f t="shared" si="69"/>
        <v>1</v>
      </c>
      <c r="P83" s="36">
        <f t="shared" si="69"/>
        <v>6</v>
      </c>
      <c r="Q83" s="36">
        <f t="shared" si="69"/>
        <v>2.83</v>
      </c>
      <c r="R83" s="36">
        <f t="shared" si="69"/>
        <v>10</v>
      </c>
      <c r="S83" s="36">
        <f t="shared" si="69"/>
        <v>18</v>
      </c>
      <c r="T83" s="36">
        <f t="shared" si="69"/>
        <v>936</v>
      </c>
      <c r="U83" s="36">
        <f t="shared" si="69"/>
        <v>936</v>
      </c>
      <c r="V83" s="36">
        <f t="shared" si="69"/>
        <v>936</v>
      </c>
      <c r="W83" s="36">
        <f t="shared" si="69"/>
        <v>936</v>
      </c>
      <c r="X83" s="36">
        <f t="shared" si="69"/>
        <v>936</v>
      </c>
      <c r="Y83" s="36">
        <f t="shared" si="69"/>
        <v>936</v>
      </c>
      <c r="Z83" s="36">
        <f t="shared" si="69"/>
        <v>936</v>
      </c>
      <c r="AA83" s="36">
        <f t="shared" si="69"/>
        <v>104</v>
      </c>
      <c r="AB83" s="29"/>
    </row>
    <row r="84" spans="1:28">
      <c r="A84" s="34" t="s">
        <v>243</v>
      </c>
      <c r="B84" s="34" t="str">
        <f t="shared" si="67"/>
        <v>F2</v>
      </c>
      <c r="C84" s="34" t="s">
        <v>383</v>
      </c>
      <c r="D84" s="34" t="str">
        <f t="shared" si="60"/>
        <v>F2max</v>
      </c>
      <c r="E84" s="37" t="str">
        <f t="shared" si="68"/>
        <v>少於200人之體育館、中小型會議或藝文教室與其專屬門走廊</v>
      </c>
      <c r="F84" s="36">
        <v>3.27</v>
      </c>
      <c r="G84" s="36">
        <v>27.09</v>
      </c>
      <c r="H84" s="36">
        <v>48.78</v>
      </c>
      <c r="I84" s="36">
        <v>49.5</v>
      </c>
      <c r="J84" s="36">
        <v>56</v>
      </c>
      <c r="K84" s="36">
        <v>0</v>
      </c>
      <c r="L84" s="36">
        <v>0</v>
      </c>
      <c r="M84" s="36">
        <v>0</v>
      </c>
      <c r="N84" s="36">
        <f t="shared" si="69"/>
        <v>15</v>
      </c>
      <c r="O84" s="36">
        <f t="shared" si="69"/>
        <v>1</v>
      </c>
      <c r="P84" s="36">
        <f t="shared" si="69"/>
        <v>6</v>
      </c>
      <c r="Q84" s="36">
        <f t="shared" si="69"/>
        <v>2.83</v>
      </c>
      <c r="R84" s="36">
        <f t="shared" si="69"/>
        <v>10</v>
      </c>
      <c r="S84" s="36">
        <f t="shared" si="69"/>
        <v>18</v>
      </c>
      <c r="T84" s="36">
        <f t="shared" si="69"/>
        <v>936</v>
      </c>
      <c r="U84" s="36">
        <f t="shared" si="69"/>
        <v>936</v>
      </c>
      <c r="V84" s="36">
        <f t="shared" si="69"/>
        <v>936</v>
      </c>
      <c r="W84" s="36">
        <f t="shared" si="69"/>
        <v>936</v>
      </c>
      <c r="X84" s="36">
        <f t="shared" si="69"/>
        <v>936</v>
      </c>
      <c r="Y84" s="36">
        <f t="shared" si="69"/>
        <v>936</v>
      </c>
      <c r="Z84" s="36">
        <f t="shared" si="69"/>
        <v>936</v>
      </c>
      <c r="AA84" s="36">
        <f t="shared" si="69"/>
        <v>104</v>
      </c>
      <c r="AB84" s="29"/>
    </row>
    <row r="85" spans="1:28">
      <c r="A85" s="34" t="s">
        <v>243</v>
      </c>
      <c r="B85" s="34" t="s">
        <v>222</v>
      </c>
      <c r="C85" s="34" t="s">
        <v>381</v>
      </c>
      <c r="D85" s="34" t="str">
        <f t="shared" si="60"/>
        <v>F3min</v>
      </c>
      <c r="E85" s="39" t="s">
        <v>238</v>
      </c>
      <c r="F85" s="36">
        <v>17.39</v>
      </c>
      <c r="G85" s="36">
        <v>12.05</v>
      </c>
      <c r="H85" s="36">
        <v>33.67</v>
      </c>
      <c r="I85" s="36">
        <v>39.22</v>
      </c>
      <c r="J85" s="36">
        <v>40.340000000000003</v>
      </c>
      <c r="K85" s="36">
        <v>0</v>
      </c>
      <c r="L85" s="36">
        <v>0</v>
      </c>
      <c r="M85" s="36">
        <v>0</v>
      </c>
      <c r="N85" s="36">
        <v>12</v>
      </c>
      <c r="O85" s="36">
        <v>0.15</v>
      </c>
      <c r="P85" s="36">
        <v>12</v>
      </c>
      <c r="Q85" s="36">
        <v>0.84</v>
      </c>
      <c r="R85" s="36">
        <v>10</v>
      </c>
      <c r="S85" s="36">
        <v>40</v>
      </c>
      <c r="T85" s="36">
        <v>2080</v>
      </c>
      <c r="U85" s="36">
        <v>2340</v>
      </c>
      <c r="V85" s="36">
        <v>2340</v>
      </c>
      <c r="W85" s="36">
        <v>2340</v>
      </c>
      <c r="X85" s="36">
        <v>2340</v>
      </c>
      <c r="Y85" s="36">
        <v>2340</v>
      </c>
      <c r="Z85" s="36">
        <v>2340</v>
      </c>
      <c r="AA85" s="36">
        <v>250</v>
      </c>
      <c r="AB85" s="29"/>
    </row>
    <row r="86" spans="1:28">
      <c r="A86" s="34" t="s">
        <v>243</v>
      </c>
      <c r="B86" s="34" t="str">
        <f t="shared" ref="B86:B87" si="70">B85</f>
        <v>F3</v>
      </c>
      <c r="C86" s="34" t="s">
        <v>382</v>
      </c>
      <c r="D86" s="34" t="str">
        <f t="shared" si="60"/>
        <v>F3m</v>
      </c>
      <c r="E86" s="37" t="str">
        <f t="shared" ref="E86:E87" si="71">E85</f>
        <v>體育館、演講中心行政辦公區</v>
      </c>
      <c r="F86" s="36">
        <v>17.39</v>
      </c>
      <c r="G86" s="36">
        <v>24.01</v>
      </c>
      <c r="H86" s="36">
        <v>43.53</v>
      </c>
      <c r="I86" s="36">
        <v>50.85</v>
      </c>
      <c r="J86" s="36">
        <v>52.55</v>
      </c>
      <c r="K86" s="36">
        <v>0</v>
      </c>
      <c r="L86" s="36">
        <v>0</v>
      </c>
      <c r="M86" s="36">
        <v>0</v>
      </c>
      <c r="N86" s="36">
        <f t="shared" ref="N86:AA87" si="72">N85</f>
        <v>12</v>
      </c>
      <c r="O86" s="36">
        <f t="shared" si="72"/>
        <v>0.15</v>
      </c>
      <c r="P86" s="36">
        <f t="shared" si="72"/>
        <v>12</v>
      </c>
      <c r="Q86" s="36">
        <f t="shared" si="72"/>
        <v>0.84</v>
      </c>
      <c r="R86" s="36">
        <f t="shared" si="72"/>
        <v>10</v>
      </c>
      <c r="S86" s="36">
        <f t="shared" si="72"/>
        <v>40</v>
      </c>
      <c r="T86" s="36">
        <f t="shared" si="72"/>
        <v>2080</v>
      </c>
      <c r="U86" s="36">
        <f t="shared" si="72"/>
        <v>2340</v>
      </c>
      <c r="V86" s="36">
        <f t="shared" si="72"/>
        <v>2340</v>
      </c>
      <c r="W86" s="36">
        <f t="shared" si="72"/>
        <v>2340</v>
      </c>
      <c r="X86" s="36">
        <f t="shared" si="72"/>
        <v>2340</v>
      </c>
      <c r="Y86" s="36">
        <f t="shared" si="72"/>
        <v>2340</v>
      </c>
      <c r="Z86" s="36">
        <f t="shared" si="72"/>
        <v>2340</v>
      </c>
      <c r="AA86" s="36">
        <f t="shared" si="72"/>
        <v>250</v>
      </c>
      <c r="AB86" s="29"/>
    </row>
    <row r="87" spans="1:28">
      <c r="A87" s="34" t="s">
        <v>243</v>
      </c>
      <c r="B87" s="34" t="str">
        <f t="shared" si="70"/>
        <v>F3</v>
      </c>
      <c r="C87" s="34" t="s">
        <v>383</v>
      </c>
      <c r="D87" s="34" t="str">
        <f t="shared" si="60"/>
        <v>F3max</v>
      </c>
      <c r="E87" s="37" t="str">
        <f t="shared" si="71"/>
        <v>體育館、演講中心行政辦公區</v>
      </c>
      <c r="F87" s="36">
        <v>17.39</v>
      </c>
      <c r="G87" s="36">
        <v>40.119999999999997</v>
      </c>
      <c r="H87" s="36">
        <v>56.41</v>
      </c>
      <c r="I87" s="36">
        <v>66.040000000000006</v>
      </c>
      <c r="J87" s="36">
        <v>68.459999999999994</v>
      </c>
      <c r="K87" s="36">
        <v>0</v>
      </c>
      <c r="L87" s="36">
        <v>0</v>
      </c>
      <c r="M87" s="36">
        <v>0</v>
      </c>
      <c r="N87" s="36">
        <f t="shared" si="72"/>
        <v>12</v>
      </c>
      <c r="O87" s="36">
        <f t="shared" si="72"/>
        <v>0.15</v>
      </c>
      <c r="P87" s="36">
        <f t="shared" si="72"/>
        <v>12</v>
      </c>
      <c r="Q87" s="36">
        <f t="shared" si="72"/>
        <v>0.84</v>
      </c>
      <c r="R87" s="36">
        <f t="shared" si="72"/>
        <v>10</v>
      </c>
      <c r="S87" s="36">
        <f t="shared" si="72"/>
        <v>40</v>
      </c>
      <c r="T87" s="36">
        <f t="shared" si="72"/>
        <v>2080</v>
      </c>
      <c r="U87" s="36">
        <f t="shared" si="72"/>
        <v>2340</v>
      </c>
      <c r="V87" s="36">
        <f t="shared" si="72"/>
        <v>2340</v>
      </c>
      <c r="W87" s="36">
        <f t="shared" si="72"/>
        <v>2340</v>
      </c>
      <c r="X87" s="36">
        <f t="shared" si="72"/>
        <v>2340</v>
      </c>
      <c r="Y87" s="36">
        <f t="shared" si="72"/>
        <v>2340</v>
      </c>
      <c r="Z87" s="36">
        <f t="shared" si="72"/>
        <v>2340</v>
      </c>
      <c r="AA87" s="36">
        <f t="shared" si="72"/>
        <v>250</v>
      </c>
      <c r="AB87" s="29"/>
    </row>
    <row r="88" spans="1:28">
      <c r="A88" s="34" t="s">
        <v>243</v>
      </c>
      <c r="B88" s="34" t="s">
        <v>223</v>
      </c>
      <c r="C88" s="34" t="s">
        <v>381</v>
      </c>
      <c r="D88" s="34" t="str">
        <f t="shared" si="60"/>
        <v>F4min</v>
      </c>
      <c r="E88" s="39" t="s">
        <v>218</v>
      </c>
      <c r="F88" s="36">
        <v>1.73</v>
      </c>
      <c r="G88" s="36">
        <v>18.41</v>
      </c>
      <c r="H88" s="36">
        <v>42.83</v>
      </c>
      <c r="I88" s="36">
        <v>46.15</v>
      </c>
      <c r="J88" s="36">
        <v>47.21</v>
      </c>
      <c r="K88" s="36">
        <v>0</v>
      </c>
      <c r="L88" s="36">
        <v>0</v>
      </c>
      <c r="M88" s="36">
        <v>0</v>
      </c>
      <c r="N88" s="36">
        <v>10</v>
      </c>
      <c r="O88" s="36">
        <v>0.03</v>
      </c>
      <c r="P88" s="36">
        <v>0</v>
      </c>
      <c r="Q88" s="36">
        <v>0.19</v>
      </c>
      <c r="R88" s="36">
        <v>15</v>
      </c>
      <c r="S88" s="36">
        <v>48</v>
      </c>
      <c r="T88" s="36">
        <v>2480</v>
      </c>
      <c r="U88" s="36">
        <v>2790</v>
      </c>
      <c r="V88" s="36">
        <v>2790</v>
      </c>
      <c r="W88" s="36">
        <v>2790</v>
      </c>
      <c r="X88" s="36">
        <v>2790</v>
      </c>
      <c r="Y88" s="36">
        <v>2790</v>
      </c>
      <c r="Z88" s="36">
        <v>2790</v>
      </c>
      <c r="AA88" s="36">
        <v>310</v>
      </c>
      <c r="AB88" s="29"/>
    </row>
    <row r="89" spans="1:28">
      <c r="A89" s="34" t="s">
        <v>243</v>
      </c>
      <c r="B89" s="34" t="str">
        <f t="shared" ref="B89:B90" si="73">B88</f>
        <v>F4</v>
      </c>
      <c r="C89" s="34" t="s">
        <v>382</v>
      </c>
      <c r="D89" s="34" t="str">
        <f t="shared" si="60"/>
        <v>F4m</v>
      </c>
      <c r="E89" s="37" t="str">
        <f t="shared" ref="E89:E90" si="74">E88</f>
        <v>大廳</v>
      </c>
      <c r="F89" s="36">
        <v>1.73</v>
      </c>
      <c r="G89" s="36">
        <v>36.85</v>
      </c>
      <c r="H89" s="36">
        <v>53.24</v>
      </c>
      <c r="I89" s="36">
        <v>57.81</v>
      </c>
      <c r="J89" s="36">
        <v>59.91</v>
      </c>
      <c r="K89" s="36">
        <v>0</v>
      </c>
      <c r="L89" s="36">
        <v>0</v>
      </c>
      <c r="M89" s="36">
        <v>0</v>
      </c>
      <c r="N89" s="36">
        <f t="shared" ref="N89:AA90" si="75">N88</f>
        <v>10</v>
      </c>
      <c r="O89" s="36">
        <f t="shared" si="75"/>
        <v>0.03</v>
      </c>
      <c r="P89" s="36">
        <f t="shared" si="75"/>
        <v>0</v>
      </c>
      <c r="Q89" s="36">
        <f t="shared" si="75"/>
        <v>0.19</v>
      </c>
      <c r="R89" s="36">
        <f t="shared" si="75"/>
        <v>15</v>
      </c>
      <c r="S89" s="36">
        <f t="shared" si="75"/>
        <v>48</v>
      </c>
      <c r="T89" s="36">
        <f t="shared" si="75"/>
        <v>2480</v>
      </c>
      <c r="U89" s="36">
        <f t="shared" si="75"/>
        <v>2790</v>
      </c>
      <c r="V89" s="36">
        <f t="shared" si="75"/>
        <v>2790</v>
      </c>
      <c r="W89" s="36">
        <f t="shared" si="75"/>
        <v>2790</v>
      </c>
      <c r="X89" s="36">
        <f t="shared" si="75"/>
        <v>2790</v>
      </c>
      <c r="Y89" s="36">
        <f t="shared" si="75"/>
        <v>2790</v>
      </c>
      <c r="Z89" s="36">
        <f t="shared" si="75"/>
        <v>2790</v>
      </c>
      <c r="AA89" s="36">
        <f t="shared" si="75"/>
        <v>310</v>
      </c>
      <c r="AB89" s="29"/>
    </row>
    <row r="90" spans="1:28">
      <c r="A90" s="34" t="s">
        <v>243</v>
      </c>
      <c r="B90" s="34" t="str">
        <f t="shared" si="73"/>
        <v>F4</v>
      </c>
      <c r="C90" s="34" t="s">
        <v>383</v>
      </c>
      <c r="D90" s="34" t="str">
        <f t="shared" si="60"/>
        <v>F4max</v>
      </c>
      <c r="E90" s="37" t="str">
        <f t="shared" si="74"/>
        <v>大廳</v>
      </c>
      <c r="F90" s="36">
        <v>1.73</v>
      </c>
      <c r="G90" s="36">
        <v>61.3</v>
      </c>
      <c r="H90" s="36">
        <v>67.540000000000006</v>
      </c>
      <c r="I90" s="36">
        <v>73.849999999999994</v>
      </c>
      <c r="J90" s="36">
        <v>77.27</v>
      </c>
      <c r="K90" s="36">
        <v>0</v>
      </c>
      <c r="L90" s="36">
        <v>0</v>
      </c>
      <c r="M90" s="36">
        <v>0</v>
      </c>
      <c r="N90" s="36">
        <f t="shared" si="75"/>
        <v>10</v>
      </c>
      <c r="O90" s="36">
        <f t="shared" si="75"/>
        <v>0.03</v>
      </c>
      <c r="P90" s="36">
        <f t="shared" si="75"/>
        <v>0</v>
      </c>
      <c r="Q90" s="36">
        <f t="shared" si="75"/>
        <v>0.19</v>
      </c>
      <c r="R90" s="36">
        <f t="shared" si="75"/>
        <v>15</v>
      </c>
      <c r="S90" s="36">
        <f t="shared" si="75"/>
        <v>48</v>
      </c>
      <c r="T90" s="36">
        <f t="shared" si="75"/>
        <v>2480</v>
      </c>
      <c r="U90" s="36">
        <f t="shared" si="75"/>
        <v>2790</v>
      </c>
      <c r="V90" s="36">
        <f t="shared" si="75"/>
        <v>2790</v>
      </c>
      <c r="W90" s="36">
        <f t="shared" si="75"/>
        <v>2790</v>
      </c>
      <c r="X90" s="36">
        <f t="shared" si="75"/>
        <v>2790</v>
      </c>
      <c r="Y90" s="36">
        <f t="shared" si="75"/>
        <v>2790</v>
      </c>
      <c r="Z90" s="36">
        <f t="shared" si="75"/>
        <v>2790</v>
      </c>
      <c r="AA90" s="36">
        <f t="shared" si="75"/>
        <v>310</v>
      </c>
      <c r="AB90" s="29"/>
    </row>
    <row r="91" spans="1:28">
      <c r="A91" s="34" t="s">
        <v>244</v>
      </c>
      <c r="B91" s="34" t="s">
        <v>224</v>
      </c>
      <c r="C91" s="34" t="s">
        <v>381</v>
      </c>
      <c r="D91" s="34" t="str">
        <f t="shared" si="60"/>
        <v>G1min</v>
      </c>
      <c r="E91" s="39" t="s">
        <v>239</v>
      </c>
      <c r="F91" s="36">
        <v>4.57</v>
      </c>
      <c r="G91" s="36">
        <v>13.91</v>
      </c>
      <c r="H91" s="36">
        <v>43.97</v>
      </c>
      <c r="I91" s="36">
        <v>47.95</v>
      </c>
      <c r="J91" s="36">
        <v>51.26</v>
      </c>
      <c r="K91" s="36">
        <v>0</v>
      </c>
      <c r="L91" s="36">
        <v>0</v>
      </c>
      <c r="M91" s="36">
        <v>0</v>
      </c>
      <c r="N91" s="36">
        <v>25</v>
      </c>
      <c r="O91" s="36">
        <v>1</v>
      </c>
      <c r="P91" s="36">
        <v>0</v>
      </c>
      <c r="Q91" s="36">
        <v>1.66</v>
      </c>
      <c r="R91" s="36">
        <v>10</v>
      </c>
      <c r="S91" s="36">
        <v>12</v>
      </c>
      <c r="T91" s="36">
        <v>624</v>
      </c>
      <c r="U91" s="36">
        <v>780</v>
      </c>
      <c r="V91" s="36">
        <v>780</v>
      </c>
      <c r="W91" s="36">
        <v>780</v>
      </c>
      <c r="X91" s="36">
        <v>780</v>
      </c>
      <c r="Y91" s="36">
        <v>780</v>
      </c>
      <c r="Z91" s="36">
        <v>780</v>
      </c>
      <c r="AA91" s="36">
        <v>104</v>
      </c>
      <c r="AB91" s="29"/>
    </row>
    <row r="92" spans="1:28">
      <c r="A92" s="34" t="s">
        <v>244</v>
      </c>
      <c r="B92" s="34" t="str">
        <f t="shared" ref="B92:B93" si="76">B91</f>
        <v>G1</v>
      </c>
      <c r="C92" s="34" t="s">
        <v>382</v>
      </c>
      <c r="D92" s="34" t="str">
        <f t="shared" si="60"/>
        <v>G1m</v>
      </c>
      <c r="E92" s="37" t="str">
        <f t="shared" ref="E92:E93" si="77">E91</f>
        <v>國家級演藝與其專屬門廳走廊</v>
      </c>
      <c r="F92" s="36">
        <v>4.57</v>
      </c>
      <c r="G92" s="36">
        <v>27.93</v>
      </c>
      <c r="H92" s="36">
        <v>64.790000000000006</v>
      </c>
      <c r="I92" s="36">
        <v>63.69</v>
      </c>
      <c r="J92" s="36">
        <v>68.739999999999995</v>
      </c>
      <c r="K92" s="36">
        <v>0</v>
      </c>
      <c r="L92" s="36">
        <v>0</v>
      </c>
      <c r="M92" s="36">
        <v>0</v>
      </c>
      <c r="N92" s="36">
        <f t="shared" ref="N92:AA93" si="78">N91</f>
        <v>25</v>
      </c>
      <c r="O92" s="36">
        <f t="shared" si="78"/>
        <v>1</v>
      </c>
      <c r="P92" s="36">
        <f t="shared" si="78"/>
        <v>0</v>
      </c>
      <c r="Q92" s="36">
        <f t="shared" si="78"/>
        <v>1.66</v>
      </c>
      <c r="R92" s="36">
        <f t="shared" si="78"/>
        <v>10</v>
      </c>
      <c r="S92" s="36">
        <f t="shared" si="78"/>
        <v>12</v>
      </c>
      <c r="T92" s="36">
        <f t="shared" si="78"/>
        <v>624</v>
      </c>
      <c r="U92" s="36">
        <f t="shared" si="78"/>
        <v>780</v>
      </c>
      <c r="V92" s="36">
        <f t="shared" si="78"/>
        <v>780</v>
      </c>
      <c r="W92" s="36">
        <f t="shared" si="78"/>
        <v>780</v>
      </c>
      <c r="X92" s="36">
        <f t="shared" si="78"/>
        <v>780</v>
      </c>
      <c r="Y92" s="36">
        <f t="shared" si="78"/>
        <v>780</v>
      </c>
      <c r="Z92" s="36">
        <f t="shared" si="78"/>
        <v>780</v>
      </c>
      <c r="AA92" s="36">
        <f t="shared" si="78"/>
        <v>104</v>
      </c>
      <c r="AB92" s="29"/>
    </row>
    <row r="93" spans="1:28">
      <c r="A93" s="34" t="s">
        <v>244</v>
      </c>
      <c r="B93" s="34" t="str">
        <f t="shared" si="76"/>
        <v>G1</v>
      </c>
      <c r="C93" s="34" t="s">
        <v>383</v>
      </c>
      <c r="D93" s="34" t="str">
        <f t="shared" si="60"/>
        <v>G1max</v>
      </c>
      <c r="E93" s="37" t="str">
        <f t="shared" si="77"/>
        <v>國家級演藝與其專屬門廳走廊</v>
      </c>
      <c r="F93" s="36">
        <v>4.57</v>
      </c>
      <c r="G93" s="36">
        <v>46.46</v>
      </c>
      <c r="H93" s="36">
        <v>71.88</v>
      </c>
      <c r="I93" s="36">
        <v>80.95</v>
      </c>
      <c r="J93" s="36">
        <v>88.11</v>
      </c>
      <c r="K93" s="36">
        <v>0</v>
      </c>
      <c r="L93" s="36">
        <v>0</v>
      </c>
      <c r="M93" s="36">
        <v>0</v>
      </c>
      <c r="N93" s="36">
        <f t="shared" si="78"/>
        <v>25</v>
      </c>
      <c r="O93" s="36">
        <f t="shared" si="78"/>
        <v>1</v>
      </c>
      <c r="P93" s="36">
        <f t="shared" si="78"/>
        <v>0</v>
      </c>
      <c r="Q93" s="36">
        <f t="shared" si="78"/>
        <v>1.66</v>
      </c>
      <c r="R93" s="36">
        <f t="shared" si="78"/>
        <v>10</v>
      </c>
      <c r="S93" s="36">
        <f t="shared" si="78"/>
        <v>12</v>
      </c>
      <c r="T93" s="36">
        <f t="shared" si="78"/>
        <v>624</v>
      </c>
      <c r="U93" s="36">
        <f t="shared" si="78"/>
        <v>780</v>
      </c>
      <c r="V93" s="36">
        <f t="shared" si="78"/>
        <v>780</v>
      </c>
      <c r="W93" s="36">
        <f t="shared" si="78"/>
        <v>780</v>
      </c>
      <c r="X93" s="36">
        <f t="shared" si="78"/>
        <v>780</v>
      </c>
      <c r="Y93" s="36">
        <f t="shared" si="78"/>
        <v>780</v>
      </c>
      <c r="Z93" s="36">
        <f t="shared" si="78"/>
        <v>780</v>
      </c>
      <c r="AA93" s="36">
        <f t="shared" si="78"/>
        <v>104</v>
      </c>
      <c r="AB93" s="29"/>
    </row>
    <row r="94" spans="1:28">
      <c r="A94" s="34" t="s">
        <v>244</v>
      </c>
      <c r="B94" s="34" t="s">
        <v>225</v>
      </c>
      <c r="C94" s="34" t="s">
        <v>381</v>
      </c>
      <c r="D94" s="34" t="str">
        <f t="shared" si="60"/>
        <v>G2min</v>
      </c>
      <c r="E94" s="39" t="s">
        <v>240</v>
      </c>
      <c r="F94" s="36">
        <v>3.48</v>
      </c>
      <c r="G94" s="36">
        <v>8.44</v>
      </c>
      <c r="H94" s="36">
        <v>42.29</v>
      </c>
      <c r="I94" s="36">
        <v>46.22</v>
      </c>
      <c r="J94" s="36">
        <v>48.91</v>
      </c>
      <c r="K94" s="36">
        <v>0</v>
      </c>
      <c r="L94" s="36">
        <v>0</v>
      </c>
      <c r="M94" s="36">
        <v>0</v>
      </c>
      <c r="N94" s="36">
        <v>12.5</v>
      </c>
      <c r="O94" s="36">
        <v>1</v>
      </c>
      <c r="P94" s="36">
        <v>0</v>
      </c>
      <c r="Q94" s="36">
        <v>1.66</v>
      </c>
      <c r="R94" s="36">
        <v>10</v>
      </c>
      <c r="S94" s="36">
        <v>12</v>
      </c>
      <c r="T94" s="36">
        <v>624</v>
      </c>
      <c r="U94" s="36">
        <v>780</v>
      </c>
      <c r="V94" s="36">
        <v>780</v>
      </c>
      <c r="W94" s="36">
        <v>780</v>
      </c>
      <c r="X94" s="36">
        <v>780</v>
      </c>
      <c r="Y94" s="36">
        <v>780</v>
      </c>
      <c r="Z94" s="36">
        <v>780</v>
      </c>
      <c r="AA94" s="36">
        <v>104</v>
      </c>
      <c r="AB94" s="29"/>
    </row>
    <row r="95" spans="1:28">
      <c r="A95" s="34" t="s">
        <v>244</v>
      </c>
      <c r="B95" s="34" t="str">
        <f t="shared" ref="B95:B96" si="79">B94</f>
        <v>G2</v>
      </c>
      <c r="C95" s="34" t="s">
        <v>382</v>
      </c>
      <c r="D95" s="34" t="str">
        <f t="shared" si="60"/>
        <v>G2m</v>
      </c>
      <c r="E95" s="37" t="str">
        <f t="shared" ref="E95:E96" si="80">E94</f>
        <v>一般級別演藝與其專屬門走廊</v>
      </c>
      <c r="F95" s="36">
        <v>3.48</v>
      </c>
      <c r="G95" s="36">
        <v>16.95</v>
      </c>
      <c r="H95" s="36">
        <v>53.6</v>
      </c>
      <c r="I95" s="36">
        <v>59.58</v>
      </c>
      <c r="J95" s="36">
        <v>64.510000000000005</v>
      </c>
      <c r="K95" s="36">
        <v>0</v>
      </c>
      <c r="L95" s="36">
        <v>0</v>
      </c>
      <c r="M95" s="36">
        <v>0</v>
      </c>
      <c r="N95" s="36">
        <f t="shared" ref="N95:AA96" si="81">N94</f>
        <v>12.5</v>
      </c>
      <c r="O95" s="36">
        <f t="shared" si="81"/>
        <v>1</v>
      </c>
      <c r="P95" s="36">
        <f t="shared" si="81"/>
        <v>0</v>
      </c>
      <c r="Q95" s="36">
        <f t="shared" si="81"/>
        <v>1.66</v>
      </c>
      <c r="R95" s="36">
        <f t="shared" si="81"/>
        <v>10</v>
      </c>
      <c r="S95" s="36">
        <f t="shared" si="81"/>
        <v>12</v>
      </c>
      <c r="T95" s="36">
        <f t="shared" si="81"/>
        <v>624</v>
      </c>
      <c r="U95" s="36">
        <f t="shared" si="81"/>
        <v>780</v>
      </c>
      <c r="V95" s="36">
        <f t="shared" si="81"/>
        <v>780</v>
      </c>
      <c r="W95" s="36">
        <f t="shared" si="81"/>
        <v>780</v>
      </c>
      <c r="X95" s="36">
        <f t="shared" si="81"/>
        <v>780</v>
      </c>
      <c r="Y95" s="36">
        <f t="shared" si="81"/>
        <v>780</v>
      </c>
      <c r="Z95" s="36">
        <f t="shared" si="81"/>
        <v>780</v>
      </c>
      <c r="AA95" s="36">
        <f t="shared" si="81"/>
        <v>104</v>
      </c>
      <c r="AB95" s="29"/>
    </row>
    <row r="96" spans="1:28">
      <c r="A96" s="34" t="s">
        <v>244</v>
      </c>
      <c r="B96" s="34" t="str">
        <f t="shared" si="79"/>
        <v>G2</v>
      </c>
      <c r="C96" s="34" t="s">
        <v>383</v>
      </c>
      <c r="D96" s="34" t="str">
        <f t="shared" si="60"/>
        <v>G2max</v>
      </c>
      <c r="E96" s="37" t="str">
        <f t="shared" si="80"/>
        <v>一般級別演藝與其專屬門走廊</v>
      </c>
      <c r="F96" s="36">
        <v>3.48</v>
      </c>
      <c r="G96" s="36">
        <v>28.14</v>
      </c>
      <c r="H96" s="36">
        <v>64.900000000000006</v>
      </c>
      <c r="I96" s="36">
        <v>73.17</v>
      </c>
      <c r="J96" s="36">
        <v>79.709999999999994</v>
      </c>
      <c r="K96" s="36">
        <v>0</v>
      </c>
      <c r="L96" s="36">
        <v>0</v>
      </c>
      <c r="M96" s="36">
        <v>0</v>
      </c>
      <c r="N96" s="36">
        <f t="shared" si="81"/>
        <v>12.5</v>
      </c>
      <c r="O96" s="36">
        <f t="shared" si="81"/>
        <v>1</v>
      </c>
      <c r="P96" s="36">
        <f t="shared" si="81"/>
        <v>0</v>
      </c>
      <c r="Q96" s="36">
        <f t="shared" si="81"/>
        <v>1.66</v>
      </c>
      <c r="R96" s="36">
        <f t="shared" si="81"/>
        <v>10</v>
      </c>
      <c r="S96" s="36">
        <f t="shared" si="81"/>
        <v>12</v>
      </c>
      <c r="T96" s="36">
        <f t="shared" si="81"/>
        <v>624</v>
      </c>
      <c r="U96" s="36">
        <f t="shared" si="81"/>
        <v>780</v>
      </c>
      <c r="V96" s="36">
        <f t="shared" si="81"/>
        <v>780</v>
      </c>
      <c r="W96" s="36">
        <f t="shared" si="81"/>
        <v>780</v>
      </c>
      <c r="X96" s="36">
        <f t="shared" si="81"/>
        <v>780</v>
      </c>
      <c r="Y96" s="36">
        <f t="shared" si="81"/>
        <v>780</v>
      </c>
      <c r="Z96" s="36">
        <f t="shared" si="81"/>
        <v>780</v>
      </c>
      <c r="AA96" s="36">
        <f t="shared" si="81"/>
        <v>104</v>
      </c>
      <c r="AB96" s="29"/>
    </row>
    <row r="97" spans="1:28">
      <c r="A97" s="7" t="s">
        <v>245</v>
      </c>
      <c r="B97" s="34" t="s">
        <v>226</v>
      </c>
      <c r="C97" s="34" t="s">
        <v>381</v>
      </c>
      <c r="D97" s="34" t="str">
        <f t="shared" si="60"/>
        <v>H1min</v>
      </c>
      <c r="E97" s="39" t="s">
        <v>241</v>
      </c>
      <c r="F97" s="36">
        <v>10.91</v>
      </c>
      <c r="G97" s="36">
        <v>12.91</v>
      </c>
      <c r="H97" s="36">
        <v>57.3</v>
      </c>
      <c r="I97" s="36">
        <v>61.62</v>
      </c>
      <c r="J97" s="36">
        <v>66.290000000000006</v>
      </c>
      <c r="K97" s="36">
        <v>0</v>
      </c>
      <c r="L97" s="36">
        <v>0</v>
      </c>
      <c r="M97" s="36">
        <v>0</v>
      </c>
      <c r="N97" s="36">
        <v>9</v>
      </c>
      <c r="O97" s="36">
        <v>0.1</v>
      </c>
      <c r="P97" s="36">
        <v>4</v>
      </c>
      <c r="Q97" s="36" t="s">
        <v>377</v>
      </c>
      <c r="R97" s="36">
        <v>10</v>
      </c>
      <c r="S97" s="36">
        <v>168</v>
      </c>
      <c r="T97" s="36">
        <v>8760</v>
      </c>
      <c r="U97" s="36">
        <v>8760</v>
      </c>
      <c r="V97" s="36">
        <v>8760</v>
      </c>
      <c r="W97" s="36">
        <v>8760</v>
      </c>
      <c r="X97" s="36">
        <v>8760</v>
      </c>
      <c r="Y97" s="36">
        <v>8760</v>
      </c>
      <c r="Z97" s="36">
        <v>8760</v>
      </c>
      <c r="AA97" s="36">
        <v>365</v>
      </c>
      <c r="AB97" s="29"/>
    </row>
    <row r="98" spans="1:28">
      <c r="A98" s="7" t="s">
        <v>245</v>
      </c>
      <c r="B98" s="34" t="str">
        <f t="shared" ref="B98:B99" si="82">B97</f>
        <v>H1</v>
      </c>
      <c r="C98" s="34" t="s">
        <v>382</v>
      </c>
      <c r="D98" s="34" t="str">
        <f t="shared" si="60"/>
        <v>H1m</v>
      </c>
      <c r="E98" s="37" t="str">
        <f t="shared" ref="E98:E99" si="83">E97</f>
        <v>飯店客房區</v>
      </c>
      <c r="F98" s="36">
        <v>10.91</v>
      </c>
      <c r="G98" s="36">
        <v>25.93</v>
      </c>
      <c r="H98" s="36">
        <v>74.17</v>
      </c>
      <c r="I98" s="36">
        <v>77.900000000000006</v>
      </c>
      <c r="J98" s="36">
        <v>83.97</v>
      </c>
      <c r="K98" s="36">
        <v>0</v>
      </c>
      <c r="L98" s="36">
        <v>0</v>
      </c>
      <c r="M98" s="36">
        <v>0</v>
      </c>
      <c r="N98" s="36">
        <f t="shared" ref="N98:AA99" si="84">N97</f>
        <v>9</v>
      </c>
      <c r="O98" s="36">
        <f t="shared" si="84"/>
        <v>0.1</v>
      </c>
      <c r="P98" s="36">
        <f t="shared" si="84"/>
        <v>4</v>
      </c>
      <c r="Q98" s="36" t="str">
        <f t="shared" si="84"/>
        <v>75*間</v>
      </c>
      <c r="R98" s="36">
        <f t="shared" si="84"/>
        <v>10</v>
      </c>
      <c r="S98" s="36">
        <f t="shared" si="84"/>
        <v>168</v>
      </c>
      <c r="T98" s="36">
        <f t="shared" si="84"/>
        <v>8760</v>
      </c>
      <c r="U98" s="36">
        <f t="shared" si="84"/>
        <v>8760</v>
      </c>
      <c r="V98" s="36">
        <f t="shared" si="84"/>
        <v>8760</v>
      </c>
      <c r="W98" s="36">
        <f t="shared" si="84"/>
        <v>8760</v>
      </c>
      <c r="X98" s="36">
        <f t="shared" si="84"/>
        <v>8760</v>
      </c>
      <c r="Y98" s="36">
        <f t="shared" si="84"/>
        <v>8760</v>
      </c>
      <c r="Z98" s="36">
        <f t="shared" si="84"/>
        <v>8760</v>
      </c>
      <c r="AA98" s="36">
        <f t="shared" si="84"/>
        <v>365</v>
      </c>
      <c r="AB98" s="29"/>
    </row>
    <row r="99" spans="1:28">
      <c r="A99" s="7" t="s">
        <v>245</v>
      </c>
      <c r="B99" s="34" t="str">
        <f t="shared" si="82"/>
        <v>H1</v>
      </c>
      <c r="C99" s="34" t="s">
        <v>383</v>
      </c>
      <c r="D99" s="34" t="str">
        <f t="shared" si="60"/>
        <v>H1max</v>
      </c>
      <c r="E99" s="37" t="str">
        <f t="shared" si="83"/>
        <v>飯店客房區</v>
      </c>
      <c r="F99" s="36">
        <v>10.91</v>
      </c>
      <c r="G99" s="36">
        <v>43.21</v>
      </c>
      <c r="H99" s="36">
        <v>96.67</v>
      </c>
      <c r="I99" s="36">
        <v>101.34</v>
      </c>
      <c r="J99" s="36">
        <v>110.21</v>
      </c>
      <c r="K99" s="36">
        <v>0</v>
      </c>
      <c r="L99" s="36">
        <v>0</v>
      </c>
      <c r="M99" s="36">
        <v>0</v>
      </c>
      <c r="N99" s="36">
        <f t="shared" si="84"/>
        <v>9</v>
      </c>
      <c r="O99" s="36">
        <f t="shared" si="84"/>
        <v>0.1</v>
      </c>
      <c r="P99" s="36">
        <f t="shared" si="84"/>
        <v>4</v>
      </c>
      <c r="Q99" s="36" t="str">
        <f t="shared" si="84"/>
        <v>75*間</v>
      </c>
      <c r="R99" s="36">
        <f t="shared" si="84"/>
        <v>10</v>
      </c>
      <c r="S99" s="36">
        <f t="shared" si="84"/>
        <v>168</v>
      </c>
      <c r="T99" s="36">
        <f t="shared" si="84"/>
        <v>8760</v>
      </c>
      <c r="U99" s="36">
        <f t="shared" si="84"/>
        <v>8760</v>
      </c>
      <c r="V99" s="36">
        <f t="shared" si="84"/>
        <v>8760</v>
      </c>
      <c r="W99" s="36">
        <f t="shared" si="84"/>
        <v>8760</v>
      </c>
      <c r="X99" s="36">
        <f t="shared" si="84"/>
        <v>8760</v>
      </c>
      <c r="Y99" s="36">
        <f t="shared" si="84"/>
        <v>8760</v>
      </c>
      <c r="Z99" s="36">
        <f t="shared" si="84"/>
        <v>8760</v>
      </c>
      <c r="AA99" s="36">
        <f t="shared" si="84"/>
        <v>365</v>
      </c>
      <c r="AB99" s="29"/>
    </row>
    <row r="100" spans="1:28">
      <c r="A100" s="7" t="s">
        <v>245</v>
      </c>
      <c r="B100" s="34" t="s">
        <v>227</v>
      </c>
      <c r="C100" s="34" t="s">
        <v>381</v>
      </c>
      <c r="D100" s="34" t="str">
        <f t="shared" si="60"/>
        <v>H2min</v>
      </c>
      <c r="E100" s="37" t="s">
        <v>242</v>
      </c>
      <c r="F100" s="36">
        <v>10.91</v>
      </c>
      <c r="G100" s="36">
        <v>12.91</v>
      </c>
      <c r="H100" s="36" t="s">
        <v>220</v>
      </c>
      <c r="I100" s="36">
        <v>64.61</v>
      </c>
      <c r="J100" s="36">
        <v>67.069999999999993</v>
      </c>
      <c r="K100" s="36">
        <v>0</v>
      </c>
      <c r="L100" s="36">
        <v>0</v>
      </c>
      <c r="M100" s="36">
        <v>0</v>
      </c>
      <c r="N100" s="36">
        <v>9</v>
      </c>
      <c r="O100" s="36">
        <v>0.1</v>
      </c>
      <c r="P100" s="36">
        <v>4</v>
      </c>
      <c r="Q100" s="36" t="s">
        <v>377</v>
      </c>
      <c r="R100" s="36">
        <v>10</v>
      </c>
      <c r="S100" s="36">
        <v>168</v>
      </c>
      <c r="T100" s="36">
        <v>8760</v>
      </c>
      <c r="U100" s="36">
        <v>8760</v>
      </c>
      <c r="V100" s="36">
        <v>8760</v>
      </c>
      <c r="W100" s="36">
        <v>8760</v>
      </c>
      <c r="X100" s="36">
        <v>8760</v>
      </c>
      <c r="Y100" s="36">
        <v>8760</v>
      </c>
      <c r="Z100" s="36">
        <v>8760</v>
      </c>
      <c r="AA100" s="36">
        <v>365</v>
      </c>
      <c r="AB100" s="29"/>
    </row>
    <row r="101" spans="1:28">
      <c r="A101" s="7" t="s">
        <v>245</v>
      </c>
      <c r="B101" s="34" t="str">
        <f t="shared" ref="B101:B102" si="85">B100</f>
        <v>H2</v>
      </c>
      <c r="C101" s="34" t="s">
        <v>382</v>
      </c>
      <c r="D101" s="34" t="str">
        <f t="shared" si="60"/>
        <v>H2m</v>
      </c>
      <c r="E101" s="37" t="str">
        <f t="shared" ref="E101:E102" si="86">E100</f>
        <v>店客房區(冬季供暖房型)</v>
      </c>
      <c r="F101" s="36">
        <v>10.91</v>
      </c>
      <c r="G101" s="36">
        <v>25.93</v>
      </c>
      <c r="H101" s="36">
        <v>80.459999999999994</v>
      </c>
      <c r="I101" s="36">
        <v>80.89</v>
      </c>
      <c r="J101" s="36">
        <v>84.75</v>
      </c>
      <c r="K101" s="36">
        <v>0</v>
      </c>
      <c r="L101" s="36">
        <v>0</v>
      </c>
      <c r="M101" s="36">
        <v>0</v>
      </c>
      <c r="N101" s="36">
        <f t="shared" ref="N101:AA102" si="87">N100</f>
        <v>9</v>
      </c>
      <c r="O101" s="36">
        <f t="shared" si="87"/>
        <v>0.1</v>
      </c>
      <c r="P101" s="36">
        <f t="shared" si="87"/>
        <v>4</v>
      </c>
      <c r="Q101" s="36" t="str">
        <f t="shared" si="87"/>
        <v>75*間</v>
      </c>
      <c r="R101" s="36">
        <f t="shared" si="87"/>
        <v>10</v>
      </c>
      <c r="S101" s="36">
        <f t="shared" si="87"/>
        <v>168</v>
      </c>
      <c r="T101" s="36">
        <f t="shared" si="87"/>
        <v>8760</v>
      </c>
      <c r="U101" s="36">
        <f t="shared" si="87"/>
        <v>8760</v>
      </c>
      <c r="V101" s="36">
        <f t="shared" si="87"/>
        <v>8760</v>
      </c>
      <c r="W101" s="36">
        <f t="shared" si="87"/>
        <v>8760</v>
      </c>
      <c r="X101" s="36">
        <f t="shared" si="87"/>
        <v>8760</v>
      </c>
      <c r="Y101" s="36">
        <f t="shared" si="87"/>
        <v>8760</v>
      </c>
      <c r="Z101" s="36">
        <f t="shared" si="87"/>
        <v>8760</v>
      </c>
      <c r="AA101" s="36">
        <f t="shared" si="87"/>
        <v>365</v>
      </c>
      <c r="AB101" s="29"/>
    </row>
    <row r="102" spans="1:28">
      <c r="A102" s="7" t="s">
        <v>245</v>
      </c>
      <c r="B102" s="34" t="str">
        <f t="shared" si="85"/>
        <v>H2</v>
      </c>
      <c r="C102" s="34" t="s">
        <v>383</v>
      </c>
      <c r="D102" s="34" t="str">
        <f t="shared" si="60"/>
        <v>H2max</v>
      </c>
      <c r="E102" s="37" t="str">
        <f t="shared" si="86"/>
        <v>店客房區(冬季供暖房型)</v>
      </c>
      <c r="F102" s="36">
        <v>10.91</v>
      </c>
      <c r="G102" s="36">
        <v>43.21</v>
      </c>
      <c r="H102" s="36">
        <v>102.96</v>
      </c>
      <c r="I102" s="36">
        <v>104.33</v>
      </c>
      <c r="J102" s="36">
        <v>110.99</v>
      </c>
      <c r="K102" s="36">
        <v>0</v>
      </c>
      <c r="L102" s="36">
        <v>0</v>
      </c>
      <c r="M102" s="36">
        <v>0</v>
      </c>
      <c r="N102" s="36">
        <f t="shared" si="87"/>
        <v>9</v>
      </c>
      <c r="O102" s="36">
        <f t="shared" si="87"/>
        <v>0.1</v>
      </c>
      <c r="P102" s="36">
        <f t="shared" si="87"/>
        <v>4</v>
      </c>
      <c r="Q102" s="36" t="str">
        <f t="shared" si="87"/>
        <v>75*間</v>
      </c>
      <c r="R102" s="36">
        <f t="shared" si="87"/>
        <v>10</v>
      </c>
      <c r="S102" s="36">
        <f t="shared" si="87"/>
        <v>168</v>
      </c>
      <c r="T102" s="36">
        <f t="shared" si="87"/>
        <v>8760</v>
      </c>
      <c r="U102" s="36">
        <f t="shared" si="87"/>
        <v>8760</v>
      </c>
      <c r="V102" s="36">
        <f t="shared" si="87"/>
        <v>8760</v>
      </c>
      <c r="W102" s="36">
        <f t="shared" si="87"/>
        <v>8760</v>
      </c>
      <c r="X102" s="36">
        <f t="shared" si="87"/>
        <v>8760</v>
      </c>
      <c r="Y102" s="36">
        <f t="shared" si="87"/>
        <v>8760</v>
      </c>
      <c r="Z102" s="36">
        <f t="shared" si="87"/>
        <v>8760</v>
      </c>
      <c r="AA102" s="36">
        <f t="shared" si="87"/>
        <v>365</v>
      </c>
      <c r="AB102" s="29"/>
    </row>
    <row r="103" spans="1:28">
      <c r="A103" s="7" t="s">
        <v>245</v>
      </c>
      <c r="B103" s="34" t="s">
        <v>228</v>
      </c>
      <c r="C103" s="34" t="s">
        <v>381</v>
      </c>
      <c r="D103" s="34" t="str">
        <f t="shared" si="60"/>
        <v>H3min</v>
      </c>
      <c r="E103" s="37" t="s">
        <v>246</v>
      </c>
      <c r="F103" s="36">
        <v>12.27</v>
      </c>
      <c r="G103" s="36">
        <v>16.3</v>
      </c>
      <c r="H103" s="36">
        <v>26.39</v>
      </c>
      <c r="I103" s="36">
        <v>27.04</v>
      </c>
      <c r="J103" s="36">
        <v>29.16</v>
      </c>
      <c r="K103" s="36">
        <v>0</v>
      </c>
      <c r="L103" s="36">
        <v>0</v>
      </c>
      <c r="M103" s="36">
        <v>0</v>
      </c>
      <c r="N103" s="36">
        <v>15</v>
      </c>
      <c r="O103" s="36">
        <v>0.1</v>
      </c>
      <c r="P103" s="36">
        <v>12</v>
      </c>
      <c r="Q103" s="36">
        <v>1.1399999999999999</v>
      </c>
      <c r="R103" s="36">
        <v>10</v>
      </c>
      <c r="S103" s="36">
        <v>56</v>
      </c>
      <c r="T103" s="36">
        <v>2810</v>
      </c>
      <c r="U103" s="36">
        <v>2810</v>
      </c>
      <c r="V103" s="36">
        <v>2810</v>
      </c>
      <c r="W103" s="36">
        <v>2810</v>
      </c>
      <c r="X103" s="36">
        <v>2810</v>
      </c>
      <c r="Y103" s="36">
        <v>2810</v>
      </c>
      <c r="Z103" s="36">
        <v>2810</v>
      </c>
      <c r="AA103" s="36">
        <v>365</v>
      </c>
      <c r="AB103" s="29"/>
    </row>
    <row r="104" spans="1:28">
      <c r="A104" s="7" t="s">
        <v>245</v>
      </c>
      <c r="B104" s="34" t="str">
        <f t="shared" ref="B104:B105" si="88">B103</f>
        <v>H3</v>
      </c>
      <c r="C104" s="34" t="s">
        <v>382</v>
      </c>
      <c r="D104" s="34" t="str">
        <f t="shared" si="60"/>
        <v>H3m</v>
      </c>
      <c r="E104" s="37" t="str">
        <f t="shared" ref="E104:E105" si="89">E103</f>
        <v>飯店8小時一般行政辦公區</v>
      </c>
      <c r="F104" s="36">
        <f t="shared" ref="F104:F105" si="90">F103</f>
        <v>12.27</v>
      </c>
      <c r="G104" s="36">
        <v>32.83</v>
      </c>
      <c r="H104" s="36">
        <v>35.880000000000003</v>
      </c>
      <c r="I104" s="36">
        <v>36.04</v>
      </c>
      <c r="J104" s="36">
        <v>38.94</v>
      </c>
      <c r="K104" s="36">
        <v>0</v>
      </c>
      <c r="L104" s="36">
        <v>0</v>
      </c>
      <c r="M104" s="36">
        <v>0</v>
      </c>
      <c r="N104" s="36">
        <f t="shared" ref="N104:AA105" si="91">N103</f>
        <v>15</v>
      </c>
      <c r="O104" s="36">
        <f t="shared" si="91"/>
        <v>0.1</v>
      </c>
      <c r="P104" s="36">
        <f t="shared" si="91"/>
        <v>12</v>
      </c>
      <c r="Q104" s="36">
        <f t="shared" si="91"/>
        <v>1.1399999999999999</v>
      </c>
      <c r="R104" s="36">
        <f t="shared" si="91"/>
        <v>10</v>
      </c>
      <c r="S104" s="36">
        <f t="shared" si="91"/>
        <v>56</v>
      </c>
      <c r="T104" s="36">
        <f t="shared" si="91"/>
        <v>2810</v>
      </c>
      <c r="U104" s="36">
        <f t="shared" si="91"/>
        <v>2810</v>
      </c>
      <c r="V104" s="36">
        <f t="shared" si="91"/>
        <v>2810</v>
      </c>
      <c r="W104" s="36">
        <f t="shared" si="91"/>
        <v>2810</v>
      </c>
      <c r="X104" s="36">
        <f t="shared" si="91"/>
        <v>2810</v>
      </c>
      <c r="Y104" s="36">
        <f t="shared" si="91"/>
        <v>2810</v>
      </c>
      <c r="Z104" s="36">
        <f t="shared" si="91"/>
        <v>2810</v>
      </c>
      <c r="AA104" s="36">
        <f t="shared" si="91"/>
        <v>365</v>
      </c>
      <c r="AB104" s="29"/>
    </row>
    <row r="105" spans="1:28">
      <c r="A105" s="7" t="s">
        <v>245</v>
      </c>
      <c r="B105" s="34" t="str">
        <f t="shared" si="88"/>
        <v>H3</v>
      </c>
      <c r="C105" s="34" t="s">
        <v>383</v>
      </c>
      <c r="D105" s="34" t="str">
        <f t="shared" si="60"/>
        <v>H3max</v>
      </c>
      <c r="E105" s="37" t="str">
        <f t="shared" si="89"/>
        <v>飯店8小時一般行政辦公區</v>
      </c>
      <c r="F105" s="36">
        <f t="shared" si="90"/>
        <v>12.27</v>
      </c>
      <c r="G105" s="36">
        <v>54.56</v>
      </c>
      <c r="H105" s="36">
        <v>48.89</v>
      </c>
      <c r="I105" s="36">
        <v>49.8</v>
      </c>
      <c r="J105" s="36">
        <v>53.92</v>
      </c>
      <c r="K105" s="36">
        <v>0</v>
      </c>
      <c r="L105" s="36">
        <v>0</v>
      </c>
      <c r="M105" s="36">
        <v>0</v>
      </c>
      <c r="N105" s="36">
        <f t="shared" si="91"/>
        <v>15</v>
      </c>
      <c r="O105" s="36">
        <f t="shared" si="91"/>
        <v>0.1</v>
      </c>
      <c r="P105" s="36">
        <f t="shared" si="91"/>
        <v>12</v>
      </c>
      <c r="Q105" s="36">
        <f t="shared" si="91"/>
        <v>1.1399999999999999</v>
      </c>
      <c r="R105" s="36">
        <f t="shared" si="91"/>
        <v>10</v>
      </c>
      <c r="S105" s="36">
        <f t="shared" si="91"/>
        <v>56</v>
      </c>
      <c r="T105" s="36">
        <f t="shared" si="91"/>
        <v>2810</v>
      </c>
      <c r="U105" s="36">
        <f t="shared" si="91"/>
        <v>2810</v>
      </c>
      <c r="V105" s="36">
        <f t="shared" si="91"/>
        <v>2810</v>
      </c>
      <c r="W105" s="36">
        <f t="shared" si="91"/>
        <v>2810</v>
      </c>
      <c r="X105" s="36">
        <f t="shared" si="91"/>
        <v>2810</v>
      </c>
      <c r="Y105" s="36">
        <f t="shared" si="91"/>
        <v>2810</v>
      </c>
      <c r="Z105" s="36">
        <f t="shared" si="91"/>
        <v>2810</v>
      </c>
      <c r="AA105" s="36">
        <f t="shared" si="91"/>
        <v>365</v>
      </c>
      <c r="AB105" s="29"/>
    </row>
    <row r="106" spans="1:28">
      <c r="A106" s="7" t="s">
        <v>245</v>
      </c>
      <c r="B106" s="34" t="s">
        <v>229</v>
      </c>
      <c r="C106" s="34" t="s">
        <v>381</v>
      </c>
      <c r="D106" s="34" t="str">
        <f t="shared" si="60"/>
        <v>H4min</v>
      </c>
      <c r="E106" s="39" t="s">
        <v>247</v>
      </c>
      <c r="F106" s="36">
        <v>52.81</v>
      </c>
      <c r="G106" s="36">
        <v>44.46</v>
      </c>
      <c r="H106" s="36">
        <v>182.53</v>
      </c>
      <c r="I106" s="36">
        <v>197.45</v>
      </c>
      <c r="J106" s="36">
        <v>201.16</v>
      </c>
      <c r="K106" s="36">
        <v>0</v>
      </c>
      <c r="L106" s="36">
        <v>0</v>
      </c>
      <c r="M106" s="36">
        <v>0</v>
      </c>
      <c r="N106" s="36">
        <v>15</v>
      </c>
      <c r="O106" s="36">
        <v>0.1</v>
      </c>
      <c r="P106" s="36">
        <v>10</v>
      </c>
      <c r="Q106" s="36">
        <v>2.74</v>
      </c>
      <c r="R106" s="36">
        <v>10</v>
      </c>
      <c r="S106" s="36">
        <v>105</v>
      </c>
      <c r="T106" s="36">
        <v>4563</v>
      </c>
      <c r="U106" s="36">
        <v>4563</v>
      </c>
      <c r="V106" s="36">
        <v>4563</v>
      </c>
      <c r="W106" s="36">
        <v>4563</v>
      </c>
      <c r="X106" s="36">
        <v>4563</v>
      </c>
      <c r="Y106" s="36">
        <v>4563</v>
      </c>
      <c r="Z106" s="36">
        <v>4563</v>
      </c>
      <c r="AA106" s="36">
        <v>365</v>
      </c>
      <c r="AB106" s="29"/>
    </row>
    <row r="107" spans="1:28">
      <c r="A107" s="7" t="s">
        <v>245</v>
      </c>
      <c r="B107" s="34" t="str">
        <f t="shared" ref="B107:B108" si="92">B106</f>
        <v>H4</v>
      </c>
      <c r="C107" s="34" t="s">
        <v>382</v>
      </c>
      <c r="D107" s="34" t="str">
        <f t="shared" si="60"/>
        <v>H4m</v>
      </c>
      <c r="E107" s="37" t="str">
        <f t="shared" ref="E107:E108" si="93">E106</f>
        <v>飯店餐飲宴會部行政辦公區</v>
      </c>
      <c r="F107" s="36">
        <f t="shared" ref="F107:F108" si="94">F106</f>
        <v>52.81</v>
      </c>
      <c r="G107" s="36">
        <v>88.39</v>
      </c>
      <c r="H107" s="36">
        <v>231.74</v>
      </c>
      <c r="I107" s="36">
        <v>243.03</v>
      </c>
      <c r="J107" s="36">
        <v>252.19</v>
      </c>
      <c r="K107" s="36">
        <v>0</v>
      </c>
      <c r="L107" s="36">
        <v>0</v>
      </c>
      <c r="M107" s="36">
        <v>0</v>
      </c>
      <c r="N107" s="36">
        <f t="shared" ref="N107:AA108" si="95">N106</f>
        <v>15</v>
      </c>
      <c r="O107" s="36">
        <f t="shared" si="95"/>
        <v>0.1</v>
      </c>
      <c r="P107" s="36">
        <f t="shared" si="95"/>
        <v>10</v>
      </c>
      <c r="Q107" s="36">
        <f t="shared" si="95"/>
        <v>2.74</v>
      </c>
      <c r="R107" s="36">
        <f t="shared" si="95"/>
        <v>10</v>
      </c>
      <c r="S107" s="36">
        <f t="shared" si="95"/>
        <v>105</v>
      </c>
      <c r="T107" s="36">
        <f t="shared" si="95"/>
        <v>4563</v>
      </c>
      <c r="U107" s="36">
        <f t="shared" si="95"/>
        <v>4563</v>
      </c>
      <c r="V107" s="36">
        <f t="shared" si="95"/>
        <v>4563</v>
      </c>
      <c r="W107" s="36">
        <f t="shared" si="95"/>
        <v>4563</v>
      </c>
      <c r="X107" s="36">
        <f t="shared" si="95"/>
        <v>4563</v>
      </c>
      <c r="Y107" s="36">
        <f t="shared" si="95"/>
        <v>4563</v>
      </c>
      <c r="Z107" s="36">
        <f t="shared" si="95"/>
        <v>4563</v>
      </c>
      <c r="AA107" s="36">
        <f t="shared" si="95"/>
        <v>365</v>
      </c>
      <c r="AB107" s="29"/>
    </row>
    <row r="108" spans="1:28">
      <c r="A108" s="7" t="s">
        <v>245</v>
      </c>
      <c r="B108" s="34" t="str">
        <f t="shared" si="92"/>
        <v>H4</v>
      </c>
      <c r="C108" s="34" t="s">
        <v>383</v>
      </c>
      <c r="D108" s="34" t="str">
        <f t="shared" si="60"/>
        <v>H4max</v>
      </c>
      <c r="E108" s="37" t="str">
        <f t="shared" si="93"/>
        <v>飯店餐飲宴會部行政辦公區</v>
      </c>
      <c r="F108" s="36">
        <f t="shared" si="94"/>
        <v>52.81</v>
      </c>
      <c r="G108" s="36">
        <v>147.68</v>
      </c>
      <c r="H108" s="36">
        <v>300.32</v>
      </c>
      <c r="I108" s="36">
        <v>320.10000000000002</v>
      </c>
      <c r="J108" s="36">
        <v>333.27</v>
      </c>
      <c r="K108" s="36">
        <v>0</v>
      </c>
      <c r="L108" s="36">
        <v>0</v>
      </c>
      <c r="M108" s="36">
        <v>0</v>
      </c>
      <c r="N108" s="36">
        <f t="shared" si="95"/>
        <v>15</v>
      </c>
      <c r="O108" s="36">
        <f t="shared" si="95"/>
        <v>0.1</v>
      </c>
      <c r="P108" s="36">
        <f t="shared" si="95"/>
        <v>10</v>
      </c>
      <c r="Q108" s="36">
        <f t="shared" si="95"/>
        <v>2.74</v>
      </c>
      <c r="R108" s="36">
        <f t="shared" si="95"/>
        <v>10</v>
      </c>
      <c r="S108" s="36">
        <f t="shared" si="95"/>
        <v>105</v>
      </c>
      <c r="T108" s="36">
        <f t="shared" si="95"/>
        <v>4563</v>
      </c>
      <c r="U108" s="36">
        <f t="shared" si="95"/>
        <v>4563</v>
      </c>
      <c r="V108" s="36">
        <f t="shared" si="95"/>
        <v>4563</v>
      </c>
      <c r="W108" s="36">
        <f t="shared" si="95"/>
        <v>4563</v>
      </c>
      <c r="X108" s="36">
        <f t="shared" si="95"/>
        <v>4563</v>
      </c>
      <c r="Y108" s="36">
        <f t="shared" si="95"/>
        <v>4563</v>
      </c>
      <c r="Z108" s="36">
        <f t="shared" si="95"/>
        <v>4563</v>
      </c>
      <c r="AA108" s="36">
        <f t="shared" si="95"/>
        <v>365</v>
      </c>
      <c r="AB108" s="29"/>
    </row>
    <row r="109" spans="1:28">
      <c r="A109" s="7" t="s">
        <v>245</v>
      </c>
      <c r="B109" s="34" t="s">
        <v>230</v>
      </c>
      <c r="C109" s="34" t="s">
        <v>381</v>
      </c>
      <c r="D109" s="34" t="str">
        <f t="shared" si="60"/>
        <v>H5min</v>
      </c>
      <c r="E109" s="37" t="s">
        <v>248</v>
      </c>
      <c r="F109" s="36">
        <v>26.09</v>
      </c>
      <c r="G109" s="36">
        <v>56.37</v>
      </c>
      <c r="H109" s="36">
        <v>104.27</v>
      </c>
      <c r="I109" s="36">
        <v>105.66</v>
      </c>
      <c r="J109" s="36">
        <v>119.21</v>
      </c>
      <c r="K109" s="36">
        <v>0</v>
      </c>
      <c r="L109" s="36">
        <v>0</v>
      </c>
      <c r="M109" s="36">
        <v>0</v>
      </c>
      <c r="N109" s="36">
        <v>15</v>
      </c>
      <c r="O109" s="36">
        <v>0.2</v>
      </c>
      <c r="P109" s="36">
        <v>5</v>
      </c>
      <c r="Q109" s="36">
        <v>6.26</v>
      </c>
      <c r="R109" s="36">
        <v>10</v>
      </c>
      <c r="S109" s="254">
        <v>168</v>
      </c>
      <c r="T109" s="254">
        <v>8760</v>
      </c>
      <c r="U109" s="254">
        <v>8760</v>
      </c>
      <c r="V109" s="254">
        <v>8760</v>
      </c>
      <c r="W109" s="254">
        <v>8760</v>
      </c>
      <c r="X109" s="254">
        <v>8760</v>
      </c>
      <c r="Y109" s="254">
        <v>8760</v>
      </c>
      <c r="Z109" s="254">
        <v>8760</v>
      </c>
      <c r="AA109" s="254">
        <v>365</v>
      </c>
      <c r="AB109" s="29"/>
    </row>
    <row r="110" spans="1:28">
      <c r="A110" s="7" t="s">
        <v>245</v>
      </c>
      <c r="B110" s="34" t="str">
        <f t="shared" ref="B110:B111" si="96">B109</f>
        <v>H5</v>
      </c>
      <c r="C110" s="34" t="s">
        <v>382</v>
      </c>
      <c r="D110" s="34" t="str">
        <f t="shared" si="60"/>
        <v>H5m</v>
      </c>
      <c r="E110" s="37" t="str">
        <f t="shared" ref="E110:E111" si="97">E109</f>
        <v>客房設施部維管辦公區</v>
      </c>
      <c r="F110" s="36">
        <f t="shared" ref="F110:F111" si="98">F109</f>
        <v>26.09</v>
      </c>
      <c r="G110" s="36">
        <v>112.06</v>
      </c>
      <c r="H110" s="36">
        <v>155.63999999999999</v>
      </c>
      <c r="I110" s="36">
        <v>151.83000000000001</v>
      </c>
      <c r="J110" s="36">
        <v>169.28</v>
      </c>
      <c r="K110" s="36">
        <v>0</v>
      </c>
      <c r="L110" s="36">
        <v>0</v>
      </c>
      <c r="M110" s="36">
        <v>0</v>
      </c>
      <c r="N110" s="36">
        <f t="shared" ref="N110:AA111" si="99">N109</f>
        <v>15</v>
      </c>
      <c r="O110" s="36">
        <f t="shared" si="99"/>
        <v>0.2</v>
      </c>
      <c r="P110" s="36">
        <f t="shared" si="99"/>
        <v>5</v>
      </c>
      <c r="Q110" s="36">
        <f t="shared" si="99"/>
        <v>6.26</v>
      </c>
      <c r="R110" s="36">
        <f t="shared" si="99"/>
        <v>10</v>
      </c>
      <c r="S110" s="36">
        <f t="shared" si="99"/>
        <v>168</v>
      </c>
      <c r="T110" s="36">
        <f t="shared" si="99"/>
        <v>8760</v>
      </c>
      <c r="U110" s="36">
        <f t="shared" si="99"/>
        <v>8760</v>
      </c>
      <c r="V110" s="36">
        <f t="shared" si="99"/>
        <v>8760</v>
      </c>
      <c r="W110" s="36">
        <f t="shared" si="99"/>
        <v>8760</v>
      </c>
      <c r="X110" s="36">
        <f t="shared" si="99"/>
        <v>8760</v>
      </c>
      <c r="Y110" s="36">
        <f t="shared" si="99"/>
        <v>8760</v>
      </c>
      <c r="Z110" s="36">
        <f t="shared" si="99"/>
        <v>8760</v>
      </c>
      <c r="AA110" s="36">
        <f t="shared" si="99"/>
        <v>365</v>
      </c>
      <c r="AB110" s="29"/>
    </row>
    <row r="111" spans="1:28">
      <c r="A111" s="7" t="s">
        <v>245</v>
      </c>
      <c r="B111" s="34" t="str">
        <f t="shared" si="96"/>
        <v>H5</v>
      </c>
      <c r="C111" s="34" t="s">
        <v>383</v>
      </c>
      <c r="D111" s="34" t="str">
        <f t="shared" si="60"/>
        <v>H5max</v>
      </c>
      <c r="E111" s="37" t="str">
        <f t="shared" si="97"/>
        <v>客房設施部維管辦公區</v>
      </c>
      <c r="F111" s="36">
        <f t="shared" si="98"/>
        <v>26.09</v>
      </c>
      <c r="G111" s="36">
        <v>187.23</v>
      </c>
      <c r="H111" s="36">
        <v>226.11</v>
      </c>
      <c r="I111" s="36">
        <v>222.72</v>
      </c>
      <c r="J111" s="36">
        <v>246.19</v>
      </c>
      <c r="K111" s="36">
        <v>0</v>
      </c>
      <c r="L111" s="36">
        <v>0</v>
      </c>
      <c r="M111" s="36">
        <v>0</v>
      </c>
      <c r="N111" s="36">
        <f t="shared" si="99"/>
        <v>15</v>
      </c>
      <c r="O111" s="36">
        <f t="shared" si="99"/>
        <v>0.2</v>
      </c>
      <c r="P111" s="36">
        <f t="shared" si="99"/>
        <v>5</v>
      </c>
      <c r="Q111" s="36">
        <f t="shared" si="99"/>
        <v>6.26</v>
      </c>
      <c r="R111" s="36">
        <f t="shared" si="99"/>
        <v>10</v>
      </c>
      <c r="S111" s="36">
        <f t="shared" si="99"/>
        <v>168</v>
      </c>
      <c r="T111" s="36">
        <f t="shared" si="99"/>
        <v>8760</v>
      </c>
      <c r="U111" s="36">
        <f t="shared" si="99"/>
        <v>8760</v>
      </c>
      <c r="V111" s="36">
        <f t="shared" si="99"/>
        <v>8760</v>
      </c>
      <c r="W111" s="36">
        <f t="shared" si="99"/>
        <v>8760</v>
      </c>
      <c r="X111" s="36">
        <f t="shared" si="99"/>
        <v>8760</v>
      </c>
      <c r="Y111" s="36">
        <f t="shared" si="99"/>
        <v>8760</v>
      </c>
      <c r="Z111" s="36">
        <f t="shared" si="99"/>
        <v>8760</v>
      </c>
      <c r="AA111" s="36">
        <f t="shared" si="99"/>
        <v>365</v>
      </c>
      <c r="AB111" s="29"/>
    </row>
    <row r="112" spans="1:28">
      <c r="A112" s="7" t="s">
        <v>245</v>
      </c>
      <c r="B112" s="34" t="s">
        <v>231</v>
      </c>
      <c r="C112" s="34" t="s">
        <v>381</v>
      </c>
      <c r="D112" s="34" t="str">
        <f t="shared" si="60"/>
        <v>H6min</v>
      </c>
      <c r="E112" s="37" t="s">
        <v>249</v>
      </c>
      <c r="F112" s="36">
        <v>39.909999999999997</v>
      </c>
      <c r="G112" s="36">
        <v>43.9</v>
      </c>
      <c r="H112" s="36">
        <v>127.53</v>
      </c>
      <c r="I112" s="36">
        <v>137.63</v>
      </c>
      <c r="J112" s="36">
        <v>145.93</v>
      </c>
      <c r="K112" s="36">
        <v>0</v>
      </c>
      <c r="L112" s="36">
        <v>0</v>
      </c>
      <c r="M112" s="36">
        <v>0</v>
      </c>
      <c r="N112" s="36">
        <v>15</v>
      </c>
      <c r="O112" s="36">
        <v>0.2</v>
      </c>
      <c r="P112" s="36">
        <v>10</v>
      </c>
      <c r="Q112" s="36">
        <v>2</v>
      </c>
      <c r="R112" s="36">
        <v>15</v>
      </c>
      <c r="S112" s="254">
        <v>168</v>
      </c>
      <c r="T112" s="254">
        <v>8760</v>
      </c>
      <c r="U112" s="254">
        <v>8760</v>
      </c>
      <c r="V112" s="254">
        <v>8760</v>
      </c>
      <c r="W112" s="254">
        <v>8760</v>
      </c>
      <c r="X112" s="254">
        <v>8760</v>
      </c>
      <c r="Y112" s="254">
        <v>8760</v>
      </c>
      <c r="Z112" s="254">
        <v>8760</v>
      </c>
      <c r="AA112" s="254">
        <v>365</v>
      </c>
      <c r="AB112" s="29"/>
    </row>
    <row r="113" spans="1:28">
      <c r="A113" s="7" t="s">
        <v>245</v>
      </c>
      <c r="B113" s="34" t="str">
        <f t="shared" ref="B113:B114" si="100">B112</f>
        <v>H6</v>
      </c>
      <c r="C113" s="34" t="s">
        <v>382</v>
      </c>
      <c r="D113" s="34" t="str">
        <f t="shared" si="60"/>
        <v>H6m</v>
      </c>
      <c r="E113" s="37" t="str">
        <f t="shared" ref="E113:E114" si="101">E112</f>
        <v>飯店櫃檯接待大廳休息區</v>
      </c>
      <c r="F113" s="36">
        <f t="shared" ref="F113:F114" si="102">F112</f>
        <v>39.909999999999997</v>
      </c>
      <c r="G113" s="36">
        <v>88.2</v>
      </c>
      <c r="H113" s="36">
        <v>170.24</v>
      </c>
      <c r="I113" s="36">
        <v>182.14</v>
      </c>
      <c r="J113" s="36">
        <v>194.18</v>
      </c>
      <c r="K113" s="36">
        <v>0</v>
      </c>
      <c r="L113" s="36">
        <v>0</v>
      </c>
      <c r="M113" s="36">
        <v>0</v>
      </c>
      <c r="N113" s="36">
        <f t="shared" ref="N113:AA114" si="103">N112</f>
        <v>15</v>
      </c>
      <c r="O113" s="36">
        <f t="shared" si="103"/>
        <v>0.2</v>
      </c>
      <c r="P113" s="36">
        <f t="shared" si="103"/>
        <v>10</v>
      </c>
      <c r="Q113" s="36">
        <f t="shared" si="103"/>
        <v>2</v>
      </c>
      <c r="R113" s="36">
        <f t="shared" si="103"/>
        <v>15</v>
      </c>
      <c r="S113" s="36">
        <f t="shared" si="103"/>
        <v>168</v>
      </c>
      <c r="T113" s="36">
        <f t="shared" si="103"/>
        <v>8760</v>
      </c>
      <c r="U113" s="36">
        <f t="shared" si="103"/>
        <v>8760</v>
      </c>
      <c r="V113" s="36">
        <f t="shared" si="103"/>
        <v>8760</v>
      </c>
      <c r="W113" s="36">
        <f t="shared" si="103"/>
        <v>8760</v>
      </c>
      <c r="X113" s="36">
        <f t="shared" si="103"/>
        <v>8760</v>
      </c>
      <c r="Y113" s="36">
        <f t="shared" si="103"/>
        <v>8760</v>
      </c>
      <c r="Z113" s="36">
        <f t="shared" si="103"/>
        <v>8760</v>
      </c>
      <c r="AA113" s="36">
        <f t="shared" si="103"/>
        <v>365</v>
      </c>
      <c r="AB113" s="29"/>
    </row>
    <row r="114" spans="1:28">
      <c r="A114" s="7" t="s">
        <v>245</v>
      </c>
      <c r="B114" s="34" t="str">
        <f t="shared" si="100"/>
        <v>H6</v>
      </c>
      <c r="C114" s="34" t="s">
        <v>383</v>
      </c>
      <c r="D114" s="34" t="str">
        <f t="shared" si="60"/>
        <v>H6max</v>
      </c>
      <c r="E114" s="37" t="str">
        <f t="shared" si="101"/>
        <v>飯店櫃檯接待大廳休息區</v>
      </c>
      <c r="F114" s="36">
        <f t="shared" si="102"/>
        <v>39.909999999999997</v>
      </c>
      <c r="G114" s="36">
        <v>147.12</v>
      </c>
      <c r="H114" s="36">
        <v>231.89</v>
      </c>
      <c r="I114" s="36">
        <v>250.69</v>
      </c>
      <c r="J114" s="36">
        <v>268.04000000000002</v>
      </c>
      <c r="K114" s="36">
        <v>0</v>
      </c>
      <c r="L114" s="36">
        <v>0</v>
      </c>
      <c r="M114" s="36">
        <v>0</v>
      </c>
      <c r="N114" s="36">
        <f t="shared" si="103"/>
        <v>15</v>
      </c>
      <c r="O114" s="36">
        <f t="shared" si="103"/>
        <v>0.2</v>
      </c>
      <c r="P114" s="36">
        <f t="shared" si="103"/>
        <v>10</v>
      </c>
      <c r="Q114" s="36">
        <f t="shared" si="103"/>
        <v>2</v>
      </c>
      <c r="R114" s="36">
        <f t="shared" si="103"/>
        <v>15</v>
      </c>
      <c r="S114" s="36">
        <f t="shared" si="103"/>
        <v>168</v>
      </c>
      <c r="T114" s="36">
        <f t="shared" si="103"/>
        <v>8760</v>
      </c>
      <c r="U114" s="36">
        <f t="shared" si="103"/>
        <v>8760</v>
      </c>
      <c r="V114" s="36">
        <f t="shared" si="103"/>
        <v>8760</v>
      </c>
      <c r="W114" s="36">
        <f t="shared" si="103"/>
        <v>8760</v>
      </c>
      <c r="X114" s="36">
        <f t="shared" si="103"/>
        <v>8760</v>
      </c>
      <c r="Y114" s="36">
        <f t="shared" si="103"/>
        <v>8760</v>
      </c>
      <c r="Z114" s="36">
        <f t="shared" si="103"/>
        <v>8760</v>
      </c>
      <c r="AA114" s="36">
        <f t="shared" si="103"/>
        <v>365</v>
      </c>
      <c r="AB114" s="29"/>
    </row>
    <row r="115" spans="1:28">
      <c r="A115" s="7" t="s">
        <v>245</v>
      </c>
      <c r="B115" s="34" t="s">
        <v>232</v>
      </c>
      <c r="C115" s="34" t="s">
        <v>381</v>
      </c>
      <c r="D115" s="34" t="str">
        <f t="shared" si="60"/>
        <v>H7min</v>
      </c>
      <c r="E115" s="37" t="s">
        <v>250</v>
      </c>
      <c r="F115" s="36">
        <v>8.77</v>
      </c>
      <c r="G115" s="36">
        <v>10.57</v>
      </c>
      <c r="H115" s="36">
        <v>57.73</v>
      </c>
      <c r="I115" s="36">
        <v>56.52</v>
      </c>
      <c r="J115" s="36">
        <v>62.67</v>
      </c>
      <c r="K115" s="36">
        <v>0</v>
      </c>
      <c r="L115" s="36">
        <v>0</v>
      </c>
      <c r="M115" s="36">
        <v>0</v>
      </c>
      <c r="N115" s="36">
        <v>10</v>
      </c>
      <c r="O115" s="36">
        <v>0.1</v>
      </c>
      <c r="P115" s="36">
        <v>5</v>
      </c>
      <c r="Q115" s="36">
        <v>1.58</v>
      </c>
      <c r="R115" s="36">
        <v>10</v>
      </c>
      <c r="S115" s="254">
        <v>168</v>
      </c>
      <c r="T115" s="254">
        <v>8760</v>
      </c>
      <c r="U115" s="254">
        <v>8760</v>
      </c>
      <c r="V115" s="254">
        <v>8760</v>
      </c>
      <c r="W115" s="254">
        <v>8760</v>
      </c>
      <c r="X115" s="254">
        <v>8760</v>
      </c>
      <c r="Y115" s="254">
        <v>8760</v>
      </c>
      <c r="Z115" s="254">
        <v>8760</v>
      </c>
      <c r="AA115" s="254">
        <v>365</v>
      </c>
      <c r="AB115" s="29"/>
    </row>
    <row r="116" spans="1:28">
      <c r="A116" s="7" t="s">
        <v>245</v>
      </c>
      <c r="B116" s="34" t="str">
        <f t="shared" ref="B116:B117" si="104">B115</f>
        <v>H7</v>
      </c>
      <c r="C116" s="34" t="s">
        <v>382</v>
      </c>
      <c r="D116" s="34" t="str">
        <f t="shared" si="60"/>
        <v>H7m</v>
      </c>
      <c r="E116" s="37" t="str">
        <f t="shared" ref="E116:E117" si="105">E115</f>
        <v>員工休息、盥洗室</v>
      </c>
      <c r="F116" s="36">
        <f t="shared" ref="F116:F117" si="106">F115</f>
        <v>8.77</v>
      </c>
      <c r="G116" s="36">
        <v>20.94</v>
      </c>
      <c r="H116" s="36">
        <v>70.87</v>
      </c>
      <c r="I116" s="36">
        <v>69.39</v>
      </c>
      <c r="J116" s="36">
        <v>77.34</v>
      </c>
      <c r="K116" s="36">
        <v>0</v>
      </c>
      <c r="L116" s="36">
        <v>0</v>
      </c>
      <c r="M116" s="36">
        <v>0</v>
      </c>
      <c r="N116" s="36">
        <f t="shared" ref="N116:AA117" si="107">N115</f>
        <v>10</v>
      </c>
      <c r="O116" s="36">
        <f t="shared" si="107"/>
        <v>0.1</v>
      </c>
      <c r="P116" s="36">
        <f t="shared" si="107"/>
        <v>5</v>
      </c>
      <c r="Q116" s="36">
        <f t="shared" si="107"/>
        <v>1.58</v>
      </c>
      <c r="R116" s="36">
        <f t="shared" si="107"/>
        <v>10</v>
      </c>
      <c r="S116" s="36">
        <f t="shared" si="107"/>
        <v>168</v>
      </c>
      <c r="T116" s="36">
        <f t="shared" si="107"/>
        <v>8760</v>
      </c>
      <c r="U116" s="36">
        <f t="shared" si="107"/>
        <v>8760</v>
      </c>
      <c r="V116" s="36">
        <f t="shared" si="107"/>
        <v>8760</v>
      </c>
      <c r="W116" s="36">
        <f t="shared" si="107"/>
        <v>8760</v>
      </c>
      <c r="X116" s="36">
        <f t="shared" si="107"/>
        <v>8760</v>
      </c>
      <c r="Y116" s="36">
        <f t="shared" si="107"/>
        <v>8760</v>
      </c>
      <c r="Z116" s="36">
        <f t="shared" si="107"/>
        <v>8760</v>
      </c>
      <c r="AA116" s="36">
        <f t="shared" si="107"/>
        <v>365</v>
      </c>
      <c r="AB116" s="29"/>
    </row>
    <row r="117" spans="1:28">
      <c r="A117" s="7" t="s">
        <v>245</v>
      </c>
      <c r="B117" s="34" t="str">
        <f t="shared" si="104"/>
        <v>H7</v>
      </c>
      <c r="C117" s="34" t="s">
        <v>383</v>
      </c>
      <c r="D117" s="34" t="str">
        <f t="shared" si="60"/>
        <v>H7max</v>
      </c>
      <c r="E117" s="37" t="str">
        <f t="shared" si="105"/>
        <v>員工休息、盥洗室</v>
      </c>
      <c r="F117" s="36">
        <f t="shared" si="106"/>
        <v>8.77</v>
      </c>
      <c r="G117" s="36">
        <v>35.1</v>
      </c>
      <c r="H117" s="36">
        <v>86.49</v>
      </c>
      <c r="I117" s="36">
        <v>85.3</v>
      </c>
      <c r="J117" s="36">
        <v>95.66</v>
      </c>
      <c r="K117" s="36">
        <v>0</v>
      </c>
      <c r="L117" s="36">
        <v>0</v>
      </c>
      <c r="M117" s="36">
        <v>0</v>
      </c>
      <c r="N117" s="36">
        <f t="shared" si="107"/>
        <v>10</v>
      </c>
      <c r="O117" s="36">
        <f t="shared" si="107"/>
        <v>0.1</v>
      </c>
      <c r="P117" s="36">
        <f t="shared" si="107"/>
        <v>5</v>
      </c>
      <c r="Q117" s="36">
        <f t="shared" si="107"/>
        <v>1.58</v>
      </c>
      <c r="R117" s="36">
        <f t="shared" si="107"/>
        <v>10</v>
      </c>
      <c r="S117" s="36">
        <f t="shared" si="107"/>
        <v>168</v>
      </c>
      <c r="T117" s="36">
        <f t="shared" si="107"/>
        <v>8760</v>
      </c>
      <c r="U117" s="36">
        <f t="shared" si="107"/>
        <v>8760</v>
      </c>
      <c r="V117" s="36">
        <f t="shared" si="107"/>
        <v>8760</v>
      </c>
      <c r="W117" s="36">
        <f t="shared" si="107"/>
        <v>8760</v>
      </c>
      <c r="X117" s="36">
        <f t="shared" si="107"/>
        <v>8760</v>
      </c>
      <c r="Y117" s="36">
        <f t="shared" si="107"/>
        <v>8760</v>
      </c>
      <c r="Z117" s="36">
        <f t="shared" si="107"/>
        <v>8760</v>
      </c>
      <c r="AA117" s="36">
        <f t="shared" si="107"/>
        <v>365</v>
      </c>
      <c r="AB117" s="29"/>
    </row>
    <row r="118" spans="1:28">
      <c r="A118" s="7" t="s">
        <v>245</v>
      </c>
      <c r="B118" s="34" t="s">
        <v>233</v>
      </c>
      <c r="C118" s="34" t="s">
        <v>381</v>
      </c>
      <c r="D118" s="34" t="str">
        <f t="shared" si="60"/>
        <v>H8min</v>
      </c>
      <c r="E118" s="37" t="s">
        <v>251</v>
      </c>
      <c r="F118" s="36">
        <v>5.2</v>
      </c>
      <c r="G118" s="36">
        <v>24.33</v>
      </c>
      <c r="H118" s="36">
        <v>91.02</v>
      </c>
      <c r="I118" s="36">
        <v>89.13</v>
      </c>
      <c r="J118" s="36">
        <v>94.08</v>
      </c>
      <c r="K118" s="36">
        <v>0</v>
      </c>
      <c r="L118" s="36">
        <v>0</v>
      </c>
      <c r="M118" s="36">
        <v>0</v>
      </c>
      <c r="N118" s="36">
        <v>10</v>
      </c>
      <c r="O118" s="36">
        <v>0.1</v>
      </c>
      <c r="P118" s="36">
        <v>3</v>
      </c>
      <c r="Q118" s="36">
        <v>1.96</v>
      </c>
      <c r="R118" s="36">
        <v>10</v>
      </c>
      <c r="S118" s="36">
        <v>112</v>
      </c>
      <c r="T118" s="36">
        <v>5840</v>
      </c>
      <c r="U118" s="36">
        <v>5840</v>
      </c>
      <c r="V118" s="36">
        <v>5840</v>
      </c>
      <c r="W118" s="36">
        <v>5840</v>
      </c>
      <c r="X118" s="36">
        <v>5840</v>
      </c>
      <c r="Y118" s="36">
        <v>5840</v>
      </c>
      <c r="Z118" s="36">
        <v>5840</v>
      </c>
      <c r="AA118" s="254">
        <v>365</v>
      </c>
      <c r="AB118" s="29"/>
    </row>
    <row r="119" spans="1:28">
      <c r="A119" s="7" t="s">
        <v>245</v>
      </c>
      <c r="B119" s="34" t="str">
        <f t="shared" ref="B119:B120" si="108">B118</f>
        <v>H8</v>
      </c>
      <c r="C119" s="34" t="s">
        <v>382</v>
      </c>
      <c r="D119" s="34" t="str">
        <f t="shared" si="60"/>
        <v>H8m</v>
      </c>
      <c r="E119" s="37" t="str">
        <f t="shared" ref="E119:E120" si="109">E118</f>
        <v>飯店附設游泳池區</v>
      </c>
      <c r="F119" s="36">
        <f t="shared" ref="F119:F120" si="110">F118</f>
        <v>5.2</v>
      </c>
      <c r="G119" s="36">
        <v>48.4</v>
      </c>
      <c r="H119" s="36">
        <v>128.26</v>
      </c>
      <c r="I119" s="36">
        <v>128.04</v>
      </c>
      <c r="J119" s="36">
        <v>138.31</v>
      </c>
      <c r="K119" s="36">
        <v>0</v>
      </c>
      <c r="L119" s="36">
        <v>0</v>
      </c>
      <c r="M119" s="36">
        <v>0</v>
      </c>
      <c r="N119" s="36">
        <f t="shared" ref="N119:AA120" si="111">N118</f>
        <v>10</v>
      </c>
      <c r="O119" s="36">
        <f t="shared" si="111"/>
        <v>0.1</v>
      </c>
      <c r="P119" s="36">
        <f t="shared" si="111"/>
        <v>3</v>
      </c>
      <c r="Q119" s="36">
        <f t="shared" si="111"/>
        <v>1.96</v>
      </c>
      <c r="R119" s="36">
        <f t="shared" si="111"/>
        <v>10</v>
      </c>
      <c r="S119" s="36">
        <f t="shared" si="111"/>
        <v>112</v>
      </c>
      <c r="T119" s="36">
        <f t="shared" si="111"/>
        <v>5840</v>
      </c>
      <c r="U119" s="36">
        <f t="shared" si="111"/>
        <v>5840</v>
      </c>
      <c r="V119" s="36">
        <f t="shared" si="111"/>
        <v>5840</v>
      </c>
      <c r="W119" s="36">
        <f t="shared" si="111"/>
        <v>5840</v>
      </c>
      <c r="X119" s="36">
        <f t="shared" si="111"/>
        <v>5840</v>
      </c>
      <c r="Y119" s="36">
        <f t="shared" si="111"/>
        <v>5840</v>
      </c>
      <c r="Z119" s="36">
        <f t="shared" si="111"/>
        <v>5840</v>
      </c>
      <c r="AA119" s="36">
        <f t="shared" si="111"/>
        <v>365</v>
      </c>
      <c r="AB119" s="29"/>
    </row>
    <row r="120" spans="1:28">
      <c r="A120" s="7" t="s">
        <v>245</v>
      </c>
      <c r="B120" s="34" t="str">
        <f t="shared" si="108"/>
        <v>H8</v>
      </c>
      <c r="C120" s="34" t="s">
        <v>383</v>
      </c>
      <c r="D120" s="34" t="str">
        <f t="shared" si="60"/>
        <v>H8max</v>
      </c>
      <c r="E120" s="37" t="str">
        <f t="shared" si="109"/>
        <v>飯店附設游泳池區</v>
      </c>
      <c r="F120" s="36">
        <f t="shared" si="110"/>
        <v>5.2</v>
      </c>
      <c r="G120" s="36">
        <v>80.95</v>
      </c>
      <c r="H120" s="36">
        <v>185.8</v>
      </c>
      <c r="I120" s="36">
        <v>188.51</v>
      </c>
      <c r="J120" s="36">
        <v>204.09</v>
      </c>
      <c r="K120" s="36">
        <v>0</v>
      </c>
      <c r="L120" s="36">
        <v>0</v>
      </c>
      <c r="M120" s="36">
        <v>0</v>
      </c>
      <c r="N120" s="36">
        <f t="shared" si="111"/>
        <v>10</v>
      </c>
      <c r="O120" s="36">
        <f t="shared" si="111"/>
        <v>0.1</v>
      </c>
      <c r="P120" s="36">
        <f t="shared" si="111"/>
        <v>3</v>
      </c>
      <c r="Q120" s="36">
        <f t="shared" si="111"/>
        <v>1.96</v>
      </c>
      <c r="R120" s="36">
        <f t="shared" si="111"/>
        <v>10</v>
      </c>
      <c r="S120" s="36">
        <f t="shared" si="111"/>
        <v>112</v>
      </c>
      <c r="T120" s="36">
        <f t="shared" si="111"/>
        <v>5840</v>
      </c>
      <c r="U120" s="36">
        <f t="shared" si="111"/>
        <v>5840</v>
      </c>
      <c r="V120" s="36">
        <f t="shared" si="111"/>
        <v>5840</v>
      </c>
      <c r="W120" s="36">
        <f t="shared" si="111"/>
        <v>5840</v>
      </c>
      <c r="X120" s="36">
        <f t="shared" si="111"/>
        <v>5840</v>
      </c>
      <c r="Y120" s="36">
        <f t="shared" si="111"/>
        <v>5840</v>
      </c>
      <c r="Z120" s="36">
        <f t="shared" si="111"/>
        <v>5840</v>
      </c>
      <c r="AA120" s="36">
        <f t="shared" si="111"/>
        <v>365</v>
      </c>
      <c r="AB120" s="29"/>
    </row>
    <row r="121" spans="1:28">
      <c r="A121" s="7" t="s">
        <v>245</v>
      </c>
      <c r="B121" s="34" t="s">
        <v>234</v>
      </c>
      <c r="C121" s="34" t="s">
        <v>381</v>
      </c>
      <c r="D121" s="34" t="str">
        <f t="shared" si="60"/>
        <v>H9min</v>
      </c>
      <c r="E121" s="37" t="s">
        <v>252</v>
      </c>
      <c r="F121" s="36">
        <v>10.25</v>
      </c>
      <c r="G121" s="36">
        <v>14.51</v>
      </c>
      <c r="H121" s="36">
        <v>30.63</v>
      </c>
      <c r="I121" s="36">
        <v>32.6</v>
      </c>
      <c r="J121" s="36">
        <v>34.409999999999997</v>
      </c>
      <c r="K121" s="36">
        <v>0</v>
      </c>
      <c r="L121" s="36">
        <v>0</v>
      </c>
      <c r="M121" s="36">
        <v>0</v>
      </c>
      <c r="N121" s="36">
        <v>10</v>
      </c>
      <c r="O121" s="36">
        <v>0.05</v>
      </c>
      <c r="P121" s="36">
        <v>5</v>
      </c>
      <c r="Q121" s="36">
        <v>1.27</v>
      </c>
      <c r="R121" s="36">
        <v>10</v>
      </c>
      <c r="S121" s="36">
        <v>112</v>
      </c>
      <c r="T121" s="36">
        <v>5840</v>
      </c>
      <c r="U121" s="36">
        <v>5840</v>
      </c>
      <c r="V121" s="36">
        <v>5840</v>
      </c>
      <c r="W121" s="36">
        <v>5840</v>
      </c>
      <c r="X121" s="36">
        <v>5840</v>
      </c>
      <c r="Y121" s="36">
        <v>5840</v>
      </c>
      <c r="Z121" s="36">
        <v>5840</v>
      </c>
      <c r="AA121" s="254">
        <v>365</v>
      </c>
      <c r="AB121" s="29"/>
    </row>
    <row r="122" spans="1:28">
      <c r="A122" s="7" t="s">
        <v>245</v>
      </c>
      <c r="B122" s="34" t="str">
        <f t="shared" ref="B122:B123" si="112">B121</f>
        <v>H9</v>
      </c>
      <c r="C122" s="34" t="s">
        <v>382</v>
      </c>
      <c r="D122" s="34" t="str">
        <f t="shared" si="60"/>
        <v>H9m</v>
      </c>
      <c r="E122" s="37" t="str">
        <f t="shared" ref="E122:E123" si="113">E121</f>
        <v>飯店附設運動中心</v>
      </c>
      <c r="F122" s="36">
        <f t="shared" ref="F122:F123" si="114">F121</f>
        <v>10.25</v>
      </c>
      <c r="G122" s="36">
        <v>28.82</v>
      </c>
      <c r="H122" s="36">
        <v>42.42</v>
      </c>
      <c r="I122" s="36">
        <v>44.52</v>
      </c>
      <c r="J122" s="36">
        <v>46.81</v>
      </c>
      <c r="K122" s="36">
        <v>0</v>
      </c>
      <c r="L122" s="36">
        <v>0</v>
      </c>
      <c r="M122" s="36">
        <v>0</v>
      </c>
      <c r="N122" s="36">
        <f t="shared" ref="N122:AA123" si="115">N121</f>
        <v>10</v>
      </c>
      <c r="O122" s="36">
        <f t="shared" si="115"/>
        <v>0.05</v>
      </c>
      <c r="P122" s="36">
        <f t="shared" si="115"/>
        <v>5</v>
      </c>
      <c r="Q122" s="36">
        <f t="shared" si="115"/>
        <v>1.27</v>
      </c>
      <c r="R122" s="36">
        <f t="shared" si="115"/>
        <v>10</v>
      </c>
      <c r="S122" s="36">
        <f t="shared" si="115"/>
        <v>112</v>
      </c>
      <c r="T122" s="36">
        <f t="shared" si="115"/>
        <v>5840</v>
      </c>
      <c r="U122" s="36">
        <f t="shared" si="115"/>
        <v>5840</v>
      </c>
      <c r="V122" s="36">
        <f t="shared" si="115"/>
        <v>5840</v>
      </c>
      <c r="W122" s="36">
        <f t="shared" si="115"/>
        <v>5840</v>
      </c>
      <c r="X122" s="36">
        <f t="shared" si="115"/>
        <v>5840</v>
      </c>
      <c r="Y122" s="36">
        <f t="shared" si="115"/>
        <v>5840</v>
      </c>
      <c r="Z122" s="36">
        <f t="shared" si="115"/>
        <v>5840</v>
      </c>
      <c r="AA122" s="36">
        <f t="shared" si="115"/>
        <v>365</v>
      </c>
      <c r="AB122" s="29"/>
    </row>
    <row r="123" spans="1:28">
      <c r="A123" s="7" t="s">
        <v>245</v>
      </c>
      <c r="B123" s="34" t="str">
        <f t="shared" si="112"/>
        <v>H9</v>
      </c>
      <c r="C123" s="34" t="s">
        <v>383</v>
      </c>
      <c r="D123" s="34" t="str">
        <f t="shared" si="60"/>
        <v>H9max</v>
      </c>
      <c r="E123" s="37" t="str">
        <f t="shared" si="113"/>
        <v>飯店附設運動中心</v>
      </c>
      <c r="F123" s="36">
        <f t="shared" si="114"/>
        <v>10.25</v>
      </c>
      <c r="G123" s="36">
        <v>48.25</v>
      </c>
      <c r="H123" s="36">
        <v>58.37</v>
      </c>
      <c r="I123" s="36">
        <v>60.27</v>
      </c>
      <c r="J123" s="36">
        <v>62.96</v>
      </c>
      <c r="K123" s="36">
        <v>0</v>
      </c>
      <c r="L123" s="36">
        <v>0</v>
      </c>
      <c r="M123" s="36">
        <v>0</v>
      </c>
      <c r="N123" s="36">
        <f t="shared" si="115"/>
        <v>10</v>
      </c>
      <c r="O123" s="36">
        <f t="shared" si="115"/>
        <v>0.05</v>
      </c>
      <c r="P123" s="36">
        <f t="shared" si="115"/>
        <v>5</v>
      </c>
      <c r="Q123" s="36">
        <f t="shared" si="115"/>
        <v>1.27</v>
      </c>
      <c r="R123" s="36">
        <f t="shared" si="115"/>
        <v>10</v>
      </c>
      <c r="S123" s="36">
        <f t="shared" si="115"/>
        <v>112</v>
      </c>
      <c r="T123" s="36">
        <f t="shared" si="115"/>
        <v>5840</v>
      </c>
      <c r="U123" s="36">
        <f t="shared" si="115"/>
        <v>5840</v>
      </c>
      <c r="V123" s="36">
        <f t="shared" si="115"/>
        <v>5840</v>
      </c>
      <c r="W123" s="36">
        <f t="shared" si="115"/>
        <v>5840</v>
      </c>
      <c r="X123" s="36">
        <f t="shared" si="115"/>
        <v>5840</v>
      </c>
      <c r="Y123" s="36">
        <f t="shared" si="115"/>
        <v>5840</v>
      </c>
      <c r="Z123" s="36">
        <f t="shared" si="115"/>
        <v>5840</v>
      </c>
      <c r="AA123" s="36">
        <f t="shared" si="115"/>
        <v>365</v>
      </c>
      <c r="AB123" s="29"/>
    </row>
    <row r="124" spans="1:28">
      <c r="A124" s="7" t="s">
        <v>245</v>
      </c>
      <c r="B124" s="34" t="s">
        <v>235</v>
      </c>
      <c r="C124" s="34" t="s">
        <v>381</v>
      </c>
      <c r="D124" s="34" t="str">
        <f t="shared" si="60"/>
        <v>H10min</v>
      </c>
      <c r="E124" s="37" t="s">
        <v>253</v>
      </c>
      <c r="F124" s="36">
        <v>15.56</v>
      </c>
      <c r="G124" s="36">
        <v>29.01</v>
      </c>
      <c r="H124" s="36">
        <v>50.7</v>
      </c>
      <c r="I124" s="36">
        <v>51.55</v>
      </c>
      <c r="J124" s="36">
        <v>55.2</v>
      </c>
      <c r="K124" s="36">
        <v>0</v>
      </c>
      <c r="L124" s="36">
        <v>0</v>
      </c>
      <c r="M124" s="36">
        <v>0</v>
      </c>
      <c r="N124" s="36">
        <v>20</v>
      </c>
      <c r="O124" s="36">
        <v>0.2</v>
      </c>
      <c r="P124" s="36">
        <v>10</v>
      </c>
      <c r="Q124" s="36">
        <v>4.9000000000000004</v>
      </c>
      <c r="R124" s="36">
        <v>10</v>
      </c>
      <c r="S124" s="36">
        <v>77</v>
      </c>
      <c r="T124" s="36">
        <v>4004</v>
      </c>
      <c r="U124" s="36">
        <v>4004</v>
      </c>
      <c r="V124" s="36">
        <v>4004</v>
      </c>
      <c r="W124" s="36">
        <v>4004</v>
      </c>
      <c r="X124" s="36">
        <v>4004</v>
      </c>
      <c r="Y124" s="36">
        <v>4004</v>
      </c>
      <c r="Z124" s="36">
        <v>4004</v>
      </c>
      <c r="AA124" s="254">
        <v>365</v>
      </c>
      <c r="AB124" s="29"/>
    </row>
    <row r="125" spans="1:28">
      <c r="A125" s="7" t="s">
        <v>245</v>
      </c>
      <c r="B125" s="34" t="str">
        <f t="shared" ref="B125:B126" si="116">B124</f>
        <v>H10</v>
      </c>
      <c r="C125" s="34" t="s">
        <v>382</v>
      </c>
      <c r="D125" s="34" t="str">
        <f t="shared" si="60"/>
        <v>H10m</v>
      </c>
      <c r="E125" s="37" t="str">
        <f t="shared" ref="E125:E126" si="117">E124</f>
        <v>宴會廳(主要以宴客為主、不含專用廚房，以12餐之70%計)</v>
      </c>
      <c r="F125" s="36">
        <f t="shared" ref="F125:F126" si="118">F124</f>
        <v>15.56</v>
      </c>
      <c r="G125" s="36">
        <v>58.39</v>
      </c>
      <c r="H125" s="36">
        <v>71.680000000000007</v>
      </c>
      <c r="I125" s="36">
        <v>72.84</v>
      </c>
      <c r="J125" s="36">
        <v>78.150000000000006</v>
      </c>
      <c r="K125" s="36">
        <v>0</v>
      </c>
      <c r="L125" s="36">
        <v>0</v>
      </c>
      <c r="M125" s="36">
        <v>0</v>
      </c>
      <c r="N125" s="36">
        <f t="shared" ref="N125:AA126" si="119">N124</f>
        <v>20</v>
      </c>
      <c r="O125" s="36">
        <f t="shared" si="119"/>
        <v>0.2</v>
      </c>
      <c r="P125" s="36">
        <f t="shared" si="119"/>
        <v>10</v>
      </c>
      <c r="Q125" s="36">
        <f t="shared" si="119"/>
        <v>4.9000000000000004</v>
      </c>
      <c r="R125" s="36">
        <f t="shared" si="119"/>
        <v>10</v>
      </c>
      <c r="S125" s="36">
        <f t="shared" si="119"/>
        <v>77</v>
      </c>
      <c r="T125" s="36">
        <f t="shared" si="119"/>
        <v>4004</v>
      </c>
      <c r="U125" s="36">
        <f t="shared" si="119"/>
        <v>4004</v>
      </c>
      <c r="V125" s="36">
        <f t="shared" si="119"/>
        <v>4004</v>
      </c>
      <c r="W125" s="36">
        <f t="shared" si="119"/>
        <v>4004</v>
      </c>
      <c r="X125" s="36">
        <f t="shared" si="119"/>
        <v>4004</v>
      </c>
      <c r="Y125" s="36">
        <f t="shared" si="119"/>
        <v>4004</v>
      </c>
      <c r="Z125" s="36">
        <f t="shared" si="119"/>
        <v>4004</v>
      </c>
      <c r="AA125" s="36">
        <f t="shared" si="119"/>
        <v>365</v>
      </c>
      <c r="AB125" s="29"/>
    </row>
    <row r="126" spans="1:28">
      <c r="A126" s="7" t="s">
        <v>245</v>
      </c>
      <c r="B126" s="34" t="str">
        <f t="shared" si="116"/>
        <v>H10</v>
      </c>
      <c r="C126" s="34" t="s">
        <v>383</v>
      </c>
      <c r="D126" s="34" t="str">
        <f t="shared" si="60"/>
        <v>H10max</v>
      </c>
      <c r="E126" s="37" t="str">
        <f t="shared" si="117"/>
        <v>宴會廳(主要以宴客為主、不含專用廚房，以12餐之70%計)</v>
      </c>
      <c r="F126" s="36">
        <f t="shared" si="118"/>
        <v>15.56</v>
      </c>
      <c r="G126" s="36">
        <v>97.29</v>
      </c>
      <c r="H126" s="36">
        <v>102.21</v>
      </c>
      <c r="I126" s="36">
        <v>104.57</v>
      </c>
      <c r="J126" s="36">
        <v>112.25</v>
      </c>
      <c r="K126" s="36">
        <v>0</v>
      </c>
      <c r="L126" s="36">
        <v>0</v>
      </c>
      <c r="M126" s="36">
        <v>0</v>
      </c>
      <c r="N126" s="36">
        <f t="shared" si="119"/>
        <v>20</v>
      </c>
      <c r="O126" s="36">
        <f t="shared" si="119"/>
        <v>0.2</v>
      </c>
      <c r="P126" s="36">
        <f t="shared" si="119"/>
        <v>10</v>
      </c>
      <c r="Q126" s="36">
        <f t="shared" si="119"/>
        <v>4.9000000000000004</v>
      </c>
      <c r="R126" s="36">
        <f t="shared" si="119"/>
        <v>10</v>
      </c>
      <c r="S126" s="36">
        <f t="shared" si="119"/>
        <v>77</v>
      </c>
      <c r="T126" s="36">
        <f t="shared" si="119"/>
        <v>4004</v>
      </c>
      <c r="U126" s="36">
        <f t="shared" si="119"/>
        <v>4004</v>
      </c>
      <c r="V126" s="36">
        <f t="shared" si="119"/>
        <v>4004</v>
      </c>
      <c r="W126" s="36">
        <f t="shared" si="119"/>
        <v>4004</v>
      </c>
      <c r="X126" s="36">
        <f t="shared" si="119"/>
        <v>4004</v>
      </c>
      <c r="Y126" s="36">
        <f t="shared" si="119"/>
        <v>4004</v>
      </c>
      <c r="Z126" s="36">
        <f t="shared" si="119"/>
        <v>4004</v>
      </c>
      <c r="AA126" s="36">
        <f t="shared" si="119"/>
        <v>365</v>
      </c>
      <c r="AB126" s="29"/>
    </row>
    <row r="127" spans="1:28">
      <c r="A127" s="7" t="s">
        <v>265</v>
      </c>
      <c r="B127" s="34" t="s">
        <v>254</v>
      </c>
      <c r="C127" s="34" t="s">
        <v>381</v>
      </c>
      <c r="D127" s="34" t="str">
        <f t="shared" si="60"/>
        <v>I1min</v>
      </c>
      <c r="E127" s="37" t="s">
        <v>270</v>
      </c>
      <c r="F127" s="36">
        <v>8.6300000000000008</v>
      </c>
      <c r="G127" s="36">
        <v>22.25</v>
      </c>
      <c r="H127" s="36">
        <v>58.03</v>
      </c>
      <c r="I127" s="36">
        <v>58.61</v>
      </c>
      <c r="J127" s="36">
        <v>62.71</v>
      </c>
      <c r="K127" s="36">
        <v>0</v>
      </c>
      <c r="L127" s="36">
        <v>0</v>
      </c>
      <c r="M127" s="36">
        <v>0</v>
      </c>
      <c r="N127" s="36">
        <v>20</v>
      </c>
      <c r="O127" s="36">
        <v>0.2</v>
      </c>
      <c r="P127" s="36">
        <v>10</v>
      </c>
      <c r="Q127" s="36">
        <v>1.74</v>
      </c>
      <c r="R127" s="36">
        <v>10</v>
      </c>
      <c r="S127" s="36">
        <v>42</v>
      </c>
      <c r="T127" s="36">
        <v>2190</v>
      </c>
      <c r="U127" s="36">
        <v>2190</v>
      </c>
      <c r="V127" s="36">
        <v>2190</v>
      </c>
      <c r="W127" s="36">
        <v>2190</v>
      </c>
      <c r="X127" s="36">
        <v>2190</v>
      </c>
      <c r="Y127" s="36">
        <v>2190</v>
      </c>
      <c r="Z127" s="36">
        <v>2190</v>
      </c>
      <c r="AA127" s="254">
        <v>365</v>
      </c>
      <c r="AB127" s="29"/>
    </row>
    <row r="128" spans="1:28">
      <c r="A128" s="7" t="s">
        <v>265</v>
      </c>
      <c r="B128" s="34" t="s">
        <v>254</v>
      </c>
      <c r="C128" s="34" t="s">
        <v>382</v>
      </c>
      <c r="D128" s="34" t="str">
        <f t="shared" si="60"/>
        <v>I1m</v>
      </c>
      <c r="E128" s="37" t="str">
        <f t="shared" ref="E128:F129" si="120">E127</f>
        <v>供一餐餐用餐區(不含專用廚房)</v>
      </c>
      <c r="F128" s="36">
        <f t="shared" si="120"/>
        <v>8.6300000000000008</v>
      </c>
      <c r="G128" s="36">
        <v>48.69</v>
      </c>
      <c r="H128" s="36">
        <v>78.680000000000007</v>
      </c>
      <c r="I128" s="36">
        <v>79.47</v>
      </c>
      <c r="J128" s="36">
        <v>85.03</v>
      </c>
      <c r="K128" s="36">
        <v>0</v>
      </c>
      <c r="L128" s="36">
        <v>0</v>
      </c>
      <c r="M128" s="36">
        <v>0</v>
      </c>
      <c r="N128" s="36">
        <f t="shared" ref="N128:AA129" si="121">N127</f>
        <v>20</v>
      </c>
      <c r="O128" s="36">
        <f t="shared" si="121"/>
        <v>0.2</v>
      </c>
      <c r="P128" s="36">
        <f t="shared" si="121"/>
        <v>10</v>
      </c>
      <c r="Q128" s="36">
        <f t="shared" si="121"/>
        <v>1.74</v>
      </c>
      <c r="R128" s="36">
        <f t="shared" si="121"/>
        <v>10</v>
      </c>
      <c r="S128" s="36">
        <f t="shared" si="121"/>
        <v>42</v>
      </c>
      <c r="T128" s="36">
        <f t="shared" si="121"/>
        <v>2190</v>
      </c>
      <c r="U128" s="36">
        <f t="shared" si="121"/>
        <v>2190</v>
      </c>
      <c r="V128" s="36">
        <f t="shared" si="121"/>
        <v>2190</v>
      </c>
      <c r="W128" s="36">
        <f t="shared" si="121"/>
        <v>2190</v>
      </c>
      <c r="X128" s="36">
        <f t="shared" si="121"/>
        <v>2190</v>
      </c>
      <c r="Y128" s="36">
        <f t="shared" si="121"/>
        <v>2190</v>
      </c>
      <c r="Z128" s="36">
        <f t="shared" si="121"/>
        <v>2190</v>
      </c>
      <c r="AA128" s="36">
        <f t="shared" si="121"/>
        <v>365</v>
      </c>
      <c r="AB128" s="29"/>
    </row>
    <row r="129" spans="1:28">
      <c r="A129" s="7" t="s">
        <v>265</v>
      </c>
      <c r="B129" s="34" t="s">
        <v>254</v>
      </c>
      <c r="C129" s="34" t="s">
        <v>383</v>
      </c>
      <c r="D129" s="34" t="str">
        <f t="shared" si="60"/>
        <v>I1max</v>
      </c>
      <c r="E129" s="37" t="str">
        <f t="shared" si="120"/>
        <v>供一餐餐用餐區(不含專用廚房)</v>
      </c>
      <c r="F129" s="36">
        <f t="shared" si="120"/>
        <v>8.6300000000000008</v>
      </c>
      <c r="G129" s="36">
        <v>7466</v>
      </c>
      <c r="H129" s="36">
        <v>105.95</v>
      </c>
      <c r="I129" s="36">
        <v>108.4</v>
      </c>
      <c r="J129" s="36">
        <v>115.99</v>
      </c>
      <c r="K129" s="36">
        <v>0</v>
      </c>
      <c r="L129" s="36">
        <v>0</v>
      </c>
      <c r="M129" s="36">
        <v>0</v>
      </c>
      <c r="N129" s="36">
        <f t="shared" si="121"/>
        <v>20</v>
      </c>
      <c r="O129" s="36">
        <f t="shared" si="121"/>
        <v>0.2</v>
      </c>
      <c r="P129" s="36">
        <f t="shared" si="121"/>
        <v>10</v>
      </c>
      <c r="Q129" s="36">
        <f t="shared" si="121"/>
        <v>1.74</v>
      </c>
      <c r="R129" s="36">
        <f t="shared" si="121"/>
        <v>10</v>
      </c>
      <c r="S129" s="36">
        <f t="shared" si="121"/>
        <v>42</v>
      </c>
      <c r="T129" s="36">
        <f t="shared" si="121"/>
        <v>2190</v>
      </c>
      <c r="U129" s="36">
        <f t="shared" si="121"/>
        <v>2190</v>
      </c>
      <c r="V129" s="36">
        <f t="shared" si="121"/>
        <v>2190</v>
      </c>
      <c r="W129" s="36">
        <f t="shared" si="121"/>
        <v>2190</v>
      </c>
      <c r="X129" s="36">
        <f t="shared" si="121"/>
        <v>2190</v>
      </c>
      <c r="Y129" s="36">
        <f t="shared" si="121"/>
        <v>2190</v>
      </c>
      <c r="Z129" s="36">
        <f t="shared" si="121"/>
        <v>2190</v>
      </c>
      <c r="AA129" s="36">
        <f t="shared" si="121"/>
        <v>365</v>
      </c>
      <c r="AB129" s="29"/>
    </row>
    <row r="130" spans="1:28">
      <c r="A130" s="7" t="s">
        <v>265</v>
      </c>
      <c r="B130" s="34" t="s">
        <v>255</v>
      </c>
      <c r="C130" s="34" t="s">
        <v>381</v>
      </c>
      <c r="D130" s="34" t="str">
        <f t="shared" si="60"/>
        <v>I2min</v>
      </c>
      <c r="E130" s="37" t="s">
        <v>271</v>
      </c>
      <c r="F130" s="36">
        <v>15.56</v>
      </c>
      <c r="G130" s="36">
        <v>41.44</v>
      </c>
      <c r="H130" s="36">
        <v>72.430000000000007</v>
      </c>
      <c r="I130" s="36">
        <v>73.64</v>
      </c>
      <c r="J130" s="36">
        <v>78.86</v>
      </c>
      <c r="K130" s="36">
        <v>0</v>
      </c>
      <c r="L130" s="36">
        <v>0</v>
      </c>
      <c r="M130" s="36">
        <v>0</v>
      </c>
      <c r="N130" s="36">
        <v>20</v>
      </c>
      <c r="O130" s="36">
        <v>0.2</v>
      </c>
      <c r="P130" s="36">
        <v>10</v>
      </c>
      <c r="Q130" s="36">
        <v>4.9000000000000004</v>
      </c>
      <c r="R130" s="36">
        <v>10</v>
      </c>
      <c r="S130" s="36">
        <v>98</v>
      </c>
      <c r="T130" s="36">
        <v>5110</v>
      </c>
      <c r="U130" s="36">
        <v>5110</v>
      </c>
      <c r="V130" s="36">
        <v>5110</v>
      </c>
      <c r="W130" s="36">
        <v>5110</v>
      </c>
      <c r="X130" s="36">
        <v>5110</v>
      </c>
      <c r="Y130" s="36">
        <v>5110</v>
      </c>
      <c r="Z130" s="36">
        <v>5110</v>
      </c>
      <c r="AA130" s="254">
        <v>365</v>
      </c>
      <c r="AB130" s="29"/>
    </row>
    <row r="131" spans="1:28">
      <c r="A131" s="7" t="s">
        <v>265</v>
      </c>
      <c r="B131" s="34" t="s">
        <v>255</v>
      </c>
      <c r="C131" s="34" t="s">
        <v>382</v>
      </c>
      <c r="D131" s="34" t="str">
        <f t="shared" si="60"/>
        <v>I2m</v>
      </c>
      <c r="E131" s="37" t="str">
        <f t="shared" ref="E131:F132" si="122">E130</f>
        <v>供午晚兩餐餐廳用餐區(不含專用廚房)</v>
      </c>
      <c r="F131" s="36">
        <f t="shared" si="122"/>
        <v>15.56</v>
      </c>
      <c r="G131" s="36">
        <v>83.41</v>
      </c>
      <c r="H131" s="36">
        <v>102.4</v>
      </c>
      <c r="I131" s="36">
        <v>104.05</v>
      </c>
      <c r="J131" s="36">
        <v>111.64</v>
      </c>
      <c r="K131" s="36">
        <v>0</v>
      </c>
      <c r="L131" s="36">
        <v>0</v>
      </c>
      <c r="M131" s="36">
        <v>0</v>
      </c>
      <c r="N131" s="36">
        <f t="shared" ref="N131:AA132" si="123">N130</f>
        <v>20</v>
      </c>
      <c r="O131" s="36">
        <f t="shared" si="123"/>
        <v>0.2</v>
      </c>
      <c r="P131" s="36">
        <f t="shared" si="123"/>
        <v>10</v>
      </c>
      <c r="Q131" s="36">
        <f t="shared" si="123"/>
        <v>4.9000000000000004</v>
      </c>
      <c r="R131" s="36">
        <f t="shared" si="123"/>
        <v>10</v>
      </c>
      <c r="S131" s="36">
        <f t="shared" si="123"/>
        <v>98</v>
      </c>
      <c r="T131" s="36">
        <f t="shared" si="123"/>
        <v>5110</v>
      </c>
      <c r="U131" s="36">
        <f t="shared" si="123"/>
        <v>5110</v>
      </c>
      <c r="V131" s="36">
        <f t="shared" si="123"/>
        <v>5110</v>
      </c>
      <c r="W131" s="36">
        <f t="shared" si="123"/>
        <v>5110</v>
      </c>
      <c r="X131" s="36">
        <f t="shared" si="123"/>
        <v>5110</v>
      </c>
      <c r="Y131" s="36">
        <f t="shared" si="123"/>
        <v>5110</v>
      </c>
      <c r="Z131" s="36">
        <f t="shared" si="123"/>
        <v>5110</v>
      </c>
      <c r="AA131" s="36">
        <f t="shared" si="123"/>
        <v>365</v>
      </c>
      <c r="AB131" s="29"/>
    </row>
    <row r="132" spans="1:28">
      <c r="A132" s="7" t="s">
        <v>265</v>
      </c>
      <c r="B132" s="34" t="s">
        <v>255</v>
      </c>
      <c r="C132" s="34" t="s">
        <v>383</v>
      </c>
      <c r="D132" s="34" t="str">
        <f t="shared" si="60"/>
        <v>I2max</v>
      </c>
      <c r="E132" s="37" t="str">
        <f t="shared" si="122"/>
        <v>供午晚兩餐餐廳用餐區(不含專用廚房)</v>
      </c>
      <c r="F132" s="36">
        <f t="shared" si="122"/>
        <v>15.56</v>
      </c>
      <c r="G132" s="36">
        <v>138.97999999999999</v>
      </c>
      <c r="H132" s="36">
        <v>146.02000000000001</v>
      </c>
      <c r="I132" s="36">
        <v>149.38999999999999</v>
      </c>
      <c r="J132" s="36">
        <v>160.36000000000001</v>
      </c>
      <c r="K132" s="36">
        <v>0</v>
      </c>
      <c r="L132" s="36">
        <v>0</v>
      </c>
      <c r="M132" s="36">
        <v>0</v>
      </c>
      <c r="N132" s="36">
        <f t="shared" si="123"/>
        <v>20</v>
      </c>
      <c r="O132" s="36">
        <f t="shared" si="123"/>
        <v>0.2</v>
      </c>
      <c r="P132" s="36">
        <f t="shared" si="123"/>
        <v>10</v>
      </c>
      <c r="Q132" s="36">
        <f t="shared" si="123"/>
        <v>4.9000000000000004</v>
      </c>
      <c r="R132" s="36">
        <f t="shared" si="123"/>
        <v>10</v>
      </c>
      <c r="S132" s="36">
        <f t="shared" si="123"/>
        <v>98</v>
      </c>
      <c r="T132" s="36">
        <f t="shared" si="123"/>
        <v>5110</v>
      </c>
      <c r="U132" s="36">
        <f t="shared" si="123"/>
        <v>5110</v>
      </c>
      <c r="V132" s="36">
        <f t="shared" si="123"/>
        <v>5110</v>
      </c>
      <c r="W132" s="36">
        <f t="shared" si="123"/>
        <v>5110</v>
      </c>
      <c r="X132" s="36">
        <f t="shared" si="123"/>
        <v>5110</v>
      </c>
      <c r="Y132" s="36">
        <f t="shared" si="123"/>
        <v>5110</v>
      </c>
      <c r="Z132" s="36">
        <f t="shared" si="123"/>
        <v>5110</v>
      </c>
      <c r="AA132" s="36">
        <f t="shared" si="123"/>
        <v>365</v>
      </c>
      <c r="AB132" s="29"/>
    </row>
    <row r="133" spans="1:28">
      <c r="A133" s="7" t="s">
        <v>265</v>
      </c>
      <c r="B133" s="34" t="s">
        <v>256</v>
      </c>
      <c r="C133" s="34" t="s">
        <v>381</v>
      </c>
      <c r="D133" s="34" t="str">
        <f t="shared" ref="D133:D196" si="124">B133&amp;C133</f>
        <v>I3min</v>
      </c>
      <c r="E133" s="37" t="s">
        <v>272</v>
      </c>
      <c r="F133" s="36">
        <v>27.62</v>
      </c>
      <c r="G133" s="36">
        <v>54.18</v>
      </c>
      <c r="H133" s="36">
        <v>91.85</v>
      </c>
      <c r="I133" s="36">
        <v>96.3</v>
      </c>
      <c r="J133" s="36">
        <v>103.1</v>
      </c>
      <c r="K133" s="36">
        <v>0</v>
      </c>
      <c r="L133" s="36">
        <v>0</v>
      </c>
      <c r="M133" s="36">
        <v>0</v>
      </c>
      <c r="N133" s="36">
        <v>20</v>
      </c>
      <c r="O133" s="36">
        <v>0.2</v>
      </c>
      <c r="P133" s="36">
        <v>10</v>
      </c>
      <c r="Q133" s="36">
        <v>6.87</v>
      </c>
      <c r="R133" s="36">
        <v>10</v>
      </c>
      <c r="S133" s="36">
        <v>119</v>
      </c>
      <c r="T133" s="36">
        <v>6205</v>
      </c>
      <c r="U133" s="36">
        <v>6205</v>
      </c>
      <c r="V133" s="36">
        <v>6205</v>
      </c>
      <c r="W133" s="36">
        <v>6205</v>
      </c>
      <c r="X133" s="36">
        <v>6205</v>
      </c>
      <c r="Y133" s="36">
        <v>6205</v>
      </c>
      <c r="Z133" s="36">
        <v>6205</v>
      </c>
      <c r="AA133" s="254">
        <v>365</v>
      </c>
      <c r="AB133" s="29"/>
    </row>
    <row r="134" spans="1:28">
      <c r="A134" s="7" t="s">
        <v>265</v>
      </c>
      <c r="B134" s="34" t="s">
        <v>256</v>
      </c>
      <c r="C134" s="34" t="s">
        <v>382</v>
      </c>
      <c r="D134" s="34" t="str">
        <f t="shared" si="124"/>
        <v>I3m</v>
      </c>
      <c r="E134" s="37" t="str">
        <f t="shared" ref="E134:F135" si="125">E133</f>
        <v>供三餐餐用餐區(不含專用廚房)</v>
      </c>
      <c r="F134" s="36">
        <f t="shared" si="125"/>
        <v>27.62</v>
      </c>
      <c r="G134" s="36">
        <v>109</v>
      </c>
      <c r="H134" s="36">
        <v>130.32</v>
      </c>
      <c r="I134" s="36">
        <v>135.74</v>
      </c>
      <c r="J134" s="36">
        <v>145.41</v>
      </c>
      <c r="K134" s="36">
        <v>0</v>
      </c>
      <c r="L134" s="36">
        <v>0</v>
      </c>
      <c r="M134" s="36">
        <v>0</v>
      </c>
      <c r="N134" s="36">
        <f t="shared" ref="N134:AA135" si="126">N133</f>
        <v>20</v>
      </c>
      <c r="O134" s="36">
        <f t="shared" si="126"/>
        <v>0.2</v>
      </c>
      <c r="P134" s="36">
        <f t="shared" si="126"/>
        <v>10</v>
      </c>
      <c r="Q134" s="36">
        <f t="shared" si="126"/>
        <v>6.87</v>
      </c>
      <c r="R134" s="36">
        <f t="shared" si="126"/>
        <v>10</v>
      </c>
      <c r="S134" s="36">
        <f t="shared" si="126"/>
        <v>119</v>
      </c>
      <c r="T134" s="36">
        <f t="shared" si="126"/>
        <v>6205</v>
      </c>
      <c r="U134" s="36">
        <f t="shared" si="126"/>
        <v>6205</v>
      </c>
      <c r="V134" s="36">
        <f t="shared" si="126"/>
        <v>6205</v>
      </c>
      <c r="W134" s="36">
        <f t="shared" si="126"/>
        <v>6205</v>
      </c>
      <c r="X134" s="36">
        <f t="shared" si="126"/>
        <v>6205</v>
      </c>
      <c r="Y134" s="36">
        <f t="shared" si="126"/>
        <v>6205</v>
      </c>
      <c r="Z134" s="36">
        <f t="shared" si="126"/>
        <v>6205</v>
      </c>
      <c r="AA134" s="36">
        <f t="shared" si="126"/>
        <v>365</v>
      </c>
      <c r="AB134" s="29"/>
    </row>
    <row r="135" spans="1:28">
      <c r="A135" s="7" t="s">
        <v>265</v>
      </c>
      <c r="B135" s="34" t="s">
        <v>256</v>
      </c>
      <c r="C135" s="34" t="s">
        <v>383</v>
      </c>
      <c r="D135" s="34" t="str">
        <f t="shared" si="124"/>
        <v>I3max</v>
      </c>
      <c r="E135" s="37" t="str">
        <f t="shared" si="125"/>
        <v>供三餐餐用餐區(不含專用廚房)</v>
      </c>
      <c r="F135" s="36">
        <f t="shared" si="125"/>
        <v>27.62</v>
      </c>
      <c r="G135" s="36">
        <v>181.66</v>
      </c>
      <c r="H135" s="36">
        <v>185.8</v>
      </c>
      <c r="I135" s="36">
        <v>195.47</v>
      </c>
      <c r="J135" s="36">
        <v>209.51</v>
      </c>
      <c r="K135" s="36">
        <v>0</v>
      </c>
      <c r="L135" s="36">
        <v>0</v>
      </c>
      <c r="M135" s="36">
        <v>0</v>
      </c>
      <c r="N135" s="36">
        <f t="shared" si="126"/>
        <v>20</v>
      </c>
      <c r="O135" s="36">
        <f t="shared" si="126"/>
        <v>0.2</v>
      </c>
      <c r="P135" s="36">
        <f t="shared" si="126"/>
        <v>10</v>
      </c>
      <c r="Q135" s="36">
        <f t="shared" si="126"/>
        <v>6.87</v>
      </c>
      <c r="R135" s="36">
        <f t="shared" si="126"/>
        <v>10</v>
      </c>
      <c r="S135" s="36">
        <f t="shared" si="126"/>
        <v>119</v>
      </c>
      <c r="T135" s="36">
        <f t="shared" si="126"/>
        <v>6205</v>
      </c>
      <c r="U135" s="36">
        <f t="shared" si="126"/>
        <v>6205</v>
      </c>
      <c r="V135" s="36">
        <f t="shared" si="126"/>
        <v>6205</v>
      </c>
      <c r="W135" s="36">
        <f t="shared" si="126"/>
        <v>6205</v>
      </c>
      <c r="X135" s="36">
        <f t="shared" si="126"/>
        <v>6205</v>
      </c>
      <c r="Y135" s="36">
        <f t="shared" si="126"/>
        <v>6205</v>
      </c>
      <c r="Z135" s="36">
        <f t="shared" si="126"/>
        <v>6205</v>
      </c>
      <c r="AA135" s="36">
        <f t="shared" si="126"/>
        <v>365</v>
      </c>
      <c r="AB135" s="29"/>
    </row>
    <row r="136" spans="1:28">
      <c r="A136" s="7" t="s">
        <v>265</v>
      </c>
      <c r="B136" s="34" t="s">
        <v>257</v>
      </c>
      <c r="C136" s="34" t="s">
        <v>381</v>
      </c>
      <c r="D136" s="34" t="str">
        <f t="shared" si="124"/>
        <v>I4min</v>
      </c>
      <c r="E136" s="37" t="s">
        <v>267</v>
      </c>
      <c r="F136" s="36">
        <v>21.59</v>
      </c>
      <c r="G136" s="36">
        <v>47.81</v>
      </c>
      <c r="H136" s="36">
        <v>82.14</v>
      </c>
      <c r="I136" s="36">
        <v>84.97</v>
      </c>
      <c r="J136" s="36">
        <v>90.98</v>
      </c>
      <c r="K136" s="36">
        <v>0</v>
      </c>
      <c r="L136" s="36">
        <v>0</v>
      </c>
      <c r="M136" s="36">
        <v>0</v>
      </c>
      <c r="N136" s="36">
        <v>20</v>
      </c>
      <c r="O136" s="36">
        <v>0.2</v>
      </c>
      <c r="P136" s="36">
        <v>10</v>
      </c>
      <c r="Q136" s="36">
        <v>6.87</v>
      </c>
      <c r="R136" s="36">
        <v>10</v>
      </c>
      <c r="S136" s="36">
        <v>105</v>
      </c>
      <c r="T136" s="36">
        <v>5840</v>
      </c>
      <c r="U136" s="36">
        <v>5840</v>
      </c>
      <c r="V136" s="36">
        <v>5840</v>
      </c>
      <c r="W136" s="36">
        <v>5840</v>
      </c>
      <c r="X136" s="36">
        <v>5840</v>
      </c>
      <c r="Y136" s="36">
        <v>5840</v>
      </c>
      <c r="Z136" s="36">
        <v>5840</v>
      </c>
      <c r="AA136" s="254">
        <v>365</v>
      </c>
      <c r="AB136" s="29"/>
    </row>
    <row r="137" spans="1:28">
      <c r="A137" s="7" t="s">
        <v>265</v>
      </c>
      <c r="B137" s="34" t="s">
        <v>257</v>
      </c>
      <c r="C137" s="34" t="s">
        <v>382</v>
      </c>
      <c r="D137" s="34" t="str">
        <f t="shared" si="124"/>
        <v>I4m</v>
      </c>
      <c r="E137" s="37" t="str">
        <f t="shared" ref="E137:F138" si="127">E136</f>
        <v>輕食類或咖啡用餐區(不含吧與廚房區)</v>
      </c>
      <c r="F137" s="36">
        <f t="shared" si="127"/>
        <v>21.59</v>
      </c>
      <c r="G137" s="36">
        <v>96.2</v>
      </c>
      <c r="H137" s="36">
        <v>116.36</v>
      </c>
      <c r="I137" s="36">
        <v>119.9</v>
      </c>
      <c r="J137" s="36">
        <v>128.53</v>
      </c>
      <c r="K137" s="36">
        <v>0</v>
      </c>
      <c r="L137" s="36">
        <v>0</v>
      </c>
      <c r="M137" s="36">
        <v>0</v>
      </c>
      <c r="N137" s="36">
        <f t="shared" ref="N137:AA138" si="128">N136</f>
        <v>20</v>
      </c>
      <c r="O137" s="36">
        <f t="shared" si="128"/>
        <v>0.2</v>
      </c>
      <c r="P137" s="36">
        <f t="shared" si="128"/>
        <v>10</v>
      </c>
      <c r="Q137" s="36">
        <f t="shared" si="128"/>
        <v>6.87</v>
      </c>
      <c r="R137" s="36">
        <f t="shared" si="128"/>
        <v>10</v>
      </c>
      <c r="S137" s="36">
        <f t="shared" si="128"/>
        <v>105</v>
      </c>
      <c r="T137" s="36">
        <f t="shared" si="128"/>
        <v>5840</v>
      </c>
      <c r="U137" s="36">
        <f t="shared" si="128"/>
        <v>5840</v>
      </c>
      <c r="V137" s="36">
        <f t="shared" si="128"/>
        <v>5840</v>
      </c>
      <c r="W137" s="36">
        <f t="shared" si="128"/>
        <v>5840</v>
      </c>
      <c r="X137" s="36">
        <f t="shared" si="128"/>
        <v>5840</v>
      </c>
      <c r="Y137" s="36">
        <f t="shared" si="128"/>
        <v>5840</v>
      </c>
      <c r="Z137" s="36">
        <f t="shared" si="128"/>
        <v>5840</v>
      </c>
      <c r="AA137" s="36">
        <f t="shared" si="128"/>
        <v>365</v>
      </c>
      <c r="AB137" s="29"/>
    </row>
    <row r="138" spans="1:28">
      <c r="A138" s="7" t="s">
        <v>265</v>
      </c>
      <c r="B138" s="34" t="s">
        <v>257</v>
      </c>
      <c r="C138" s="34" t="s">
        <v>383</v>
      </c>
      <c r="D138" s="34" t="str">
        <f t="shared" si="124"/>
        <v>I4max</v>
      </c>
      <c r="E138" s="37" t="str">
        <f t="shared" si="127"/>
        <v>輕食類或咖啡用餐區(不含吧與廚房區)</v>
      </c>
      <c r="F138" s="36">
        <f t="shared" si="127"/>
        <v>21.59</v>
      </c>
      <c r="G138" s="36">
        <v>160.32</v>
      </c>
      <c r="H138" s="36">
        <v>165.91</v>
      </c>
      <c r="I138" s="36">
        <v>172.43</v>
      </c>
      <c r="J138" s="36">
        <v>184.94</v>
      </c>
      <c r="K138" s="36">
        <v>0</v>
      </c>
      <c r="L138" s="36">
        <v>0</v>
      </c>
      <c r="M138" s="36">
        <v>0</v>
      </c>
      <c r="N138" s="36">
        <f t="shared" si="128"/>
        <v>20</v>
      </c>
      <c r="O138" s="36">
        <f t="shared" si="128"/>
        <v>0.2</v>
      </c>
      <c r="P138" s="36">
        <f t="shared" si="128"/>
        <v>10</v>
      </c>
      <c r="Q138" s="36">
        <f t="shared" si="128"/>
        <v>6.87</v>
      </c>
      <c r="R138" s="36">
        <f t="shared" si="128"/>
        <v>10</v>
      </c>
      <c r="S138" s="36">
        <f t="shared" si="128"/>
        <v>105</v>
      </c>
      <c r="T138" s="36">
        <f t="shared" si="128"/>
        <v>5840</v>
      </c>
      <c r="U138" s="36">
        <f t="shared" si="128"/>
        <v>5840</v>
      </c>
      <c r="V138" s="36">
        <f t="shared" si="128"/>
        <v>5840</v>
      </c>
      <c r="W138" s="36">
        <f t="shared" si="128"/>
        <v>5840</v>
      </c>
      <c r="X138" s="36">
        <f t="shared" si="128"/>
        <v>5840</v>
      </c>
      <c r="Y138" s="36">
        <f t="shared" si="128"/>
        <v>5840</v>
      </c>
      <c r="Z138" s="36">
        <f t="shared" si="128"/>
        <v>5840</v>
      </c>
      <c r="AA138" s="36">
        <f t="shared" si="128"/>
        <v>365</v>
      </c>
      <c r="AB138" s="29"/>
    </row>
    <row r="139" spans="1:28">
      <c r="A139" s="7" t="s">
        <v>265</v>
      </c>
      <c r="B139" s="34" t="s">
        <v>258</v>
      </c>
      <c r="C139" s="34" t="s">
        <v>381</v>
      </c>
      <c r="D139" s="34" t="str">
        <f t="shared" si="124"/>
        <v>I5min</v>
      </c>
      <c r="E139" s="38" t="s">
        <v>273</v>
      </c>
      <c r="F139" s="36">
        <v>39.71</v>
      </c>
      <c r="G139" s="36">
        <v>47.67</v>
      </c>
      <c r="H139" s="36">
        <v>65.599999999999994</v>
      </c>
      <c r="I139" s="36">
        <v>76.95</v>
      </c>
      <c r="J139" s="36">
        <v>89.71</v>
      </c>
      <c r="K139" s="36">
        <v>0</v>
      </c>
      <c r="L139" s="36">
        <v>0</v>
      </c>
      <c r="M139" s="36">
        <v>0</v>
      </c>
      <c r="N139" s="36">
        <v>15</v>
      </c>
      <c r="O139" s="36">
        <v>0.2</v>
      </c>
      <c r="P139" s="36">
        <v>10</v>
      </c>
      <c r="Q139" s="36">
        <v>5.51</v>
      </c>
      <c r="R139" s="36">
        <v>10</v>
      </c>
      <c r="S139" s="36">
        <v>168</v>
      </c>
      <c r="T139" s="36">
        <v>8760</v>
      </c>
      <c r="U139" s="36">
        <v>8760</v>
      </c>
      <c r="V139" s="36">
        <v>8760</v>
      </c>
      <c r="W139" s="36">
        <v>8760</v>
      </c>
      <c r="X139" s="36">
        <v>8760</v>
      </c>
      <c r="Y139" s="36">
        <v>8760</v>
      </c>
      <c r="Z139" s="36">
        <v>8760</v>
      </c>
      <c r="AA139" s="254">
        <v>365</v>
      </c>
      <c r="AB139" s="29"/>
    </row>
    <row r="140" spans="1:28">
      <c r="A140" s="7" t="s">
        <v>265</v>
      </c>
      <c r="B140" s="34" t="s">
        <v>258</v>
      </c>
      <c r="C140" s="34" t="s">
        <v>382</v>
      </c>
      <c r="D140" s="34" t="str">
        <f t="shared" si="124"/>
        <v>I5m</v>
      </c>
      <c r="E140" s="37" t="str">
        <f t="shared" ref="E140:F141" si="129">E139</f>
        <v>24餐用餐區 (不含專用廚房)</v>
      </c>
      <c r="F140" s="36">
        <f t="shared" si="129"/>
        <v>39.71</v>
      </c>
      <c r="G140" s="36">
        <v>91.9</v>
      </c>
      <c r="H140" s="36">
        <v>108.82</v>
      </c>
      <c r="I140" s="36">
        <v>126.42</v>
      </c>
      <c r="J140" s="36">
        <v>147.66999999999999</v>
      </c>
      <c r="K140" s="36">
        <v>0</v>
      </c>
      <c r="L140" s="36">
        <v>0</v>
      </c>
      <c r="M140" s="36">
        <v>0</v>
      </c>
      <c r="N140" s="36">
        <f t="shared" ref="N140:AA141" si="130">N139</f>
        <v>15</v>
      </c>
      <c r="O140" s="36">
        <f t="shared" si="130"/>
        <v>0.2</v>
      </c>
      <c r="P140" s="36">
        <f t="shared" si="130"/>
        <v>10</v>
      </c>
      <c r="Q140" s="36">
        <f t="shared" si="130"/>
        <v>5.51</v>
      </c>
      <c r="R140" s="36">
        <f t="shared" si="130"/>
        <v>10</v>
      </c>
      <c r="S140" s="36">
        <f t="shared" si="130"/>
        <v>168</v>
      </c>
      <c r="T140" s="36">
        <f t="shared" si="130"/>
        <v>8760</v>
      </c>
      <c r="U140" s="36">
        <f t="shared" si="130"/>
        <v>8760</v>
      </c>
      <c r="V140" s="36">
        <f t="shared" si="130"/>
        <v>8760</v>
      </c>
      <c r="W140" s="36">
        <f t="shared" si="130"/>
        <v>8760</v>
      </c>
      <c r="X140" s="36">
        <f t="shared" si="130"/>
        <v>8760</v>
      </c>
      <c r="Y140" s="36">
        <f t="shared" si="130"/>
        <v>8760</v>
      </c>
      <c r="Z140" s="36">
        <f t="shared" si="130"/>
        <v>8760</v>
      </c>
      <c r="AA140" s="36">
        <f t="shared" si="130"/>
        <v>365</v>
      </c>
      <c r="AB140" s="29"/>
    </row>
    <row r="141" spans="1:28">
      <c r="A141" s="7" t="s">
        <v>265</v>
      </c>
      <c r="B141" s="34" t="s">
        <v>258</v>
      </c>
      <c r="C141" s="34" t="s">
        <v>383</v>
      </c>
      <c r="D141" s="34" t="str">
        <f t="shared" si="124"/>
        <v>I5max</v>
      </c>
      <c r="E141" s="37" t="str">
        <f t="shared" si="129"/>
        <v>24餐用餐區 (不含專用廚房)</v>
      </c>
      <c r="F141" s="36">
        <f t="shared" si="129"/>
        <v>39.71</v>
      </c>
      <c r="G141" s="36">
        <v>153.32</v>
      </c>
      <c r="H141" s="36">
        <v>170.4</v>
      </c>
      <c r="I141" s="36">
        <v>191.68</v>
      </c>
      <c r="J141" s="36">
        <v>232.04</v>
      </c>
      <c r="K141" s="36">
        <v>0</v>
      </c>
      <c r="L141" s="36">
        <v>0</v>
      </c>
      <c r="M141" s="36">
        <v>0</v>
      </c>
      <c r="N141" s="36">
        <f t="shared" si="130"/>
        <v>15</v>
      </c>
      <c r="O141" s="36">
        <f t="shared" si="130"/>
        <v>0.2</v>
      </c>
      <c r="P141" s="36">
        <f t="shared" si="130"/>
        <v>10</v>
      </c>
      <c r="Q141" s="36">
        <f t="shared" si="130"/>
        <v>5.51</v>
      </c>
      <c r="R141" s="36">
        <f t="shared" si="130"/>
        <v>10</v>
      </c>
      <c r="S141" s="36">
        <f t="shared" si="130"/>
        <v>168</v>
      </c>
      <c r="T141" s="36">
        <f t="shared" si="130"/>
        <v>8760</v>
      </c>
      <c r="U141" s="36">
        <f t="shared" si="130"/>
        <v>8760</v>
      </c>
      <c r="V141" s="36">
        <f t="shared" si="130"/>
        <v>8760</v>
      </c>
      <c r="W141" s="36">
        <f t="shared" si="130"/>
        <v>8760</v>
      </c>
      <c r="X141" s="36">
        <f t="shared" si="130"/>
        <v>8760</v>
      </c>
      <c r="Y141" s="36">
        <f t="shared" si="130"/>
        <v>8760</v>
      </c>
      <c r="Z141" s="36">
        <f t="shared" si="130"/>
        <v>8760</v>
      </c>
      <c r="AA141" s="36">
        <f t="shared" si="130"/>
        <v>365</v>
      </c>
      <c r="AB141" s="29"/>
    </row>
    <row r="142" spans="1:28">
      <c r="A142" s="7" t="s">
        <v>265</v>
      </c>
      <c r="B142" s="34" t="s">
        <v>259</v>
      </c>
      <c r="C142" s="34" t="s">
        <v>381</v>
      </c>
      <c r="D142" s="34" t="str">
        <f t="shared" si="124"/>
        <v>I6min</v>
      </c>
      <c r="E142" s="37" t="s">
        <v>268</v>
      </c>
      <c r="F142" s="36">
        <v>336.95</v>
      </c>
      <c r="G142" s="36">
        <v>19.79</v>
      </c>
      <c r="H142" s="36">
        <v>162.54</v>
      </c>
      <c r="I142" s="36">
        <v>172.25</v>
      </c>
      <c r="J142" s="36">
        <v>197.93</v>
      </c>
      <c r="K142" s="36">
        <v>0</v>
      </c>
      <c r="L142" s="36">
        <v>0</v>
      </c>
      <c r="M142" s="36">
        <v>0</v>
      </c>
      <c r="N142" s="36">
        <v>10</v>
      </c>
      <c r="O142" s="36">
        <v>0.3</v>
      </c>
      <c r="P142" s="36">
        <v>205</v>
      </c>
      <c r="Q142" s="36">
        <v>5.08</v>
      </c>
      <c r="R142" s="36">
        <v>10</v>
      </c>
      <c r="S142" s="36">
        <v>63</v>
      </c>
      <c r="T142" s="36">
        <v>3276</v>
      </c>
      <c r="U142" s="36">
        <v>3276</v>
      </c>
      <c r="V142" s="36">
        <v>3276</v>
      </c>
      <c r="W142" s="36">
        <v>3276</v>
      </c>
      <c r="X142" s="36">
        <v>3276</v>
      </c>
      <c r="Y142" s="36">
        <v>3276</v>
      </c>
      <c r="Z142" s="36">
        <v>3276</v>
      </c>
      <c r="AA142" s="254">
        <v>365</v>
      </c>
      <c r="AB142" s="29"/>
    </row>
    <row r="143" spans="1:28">
      <c r="A143" s="7" t="s">
        <v>265</v>
      </c>
      <c r="B143" s="34" t="s">
        <v>259</v>
      </c>
      <c r="C143" s="34" t="s">
        <v>382</v>
      </c>
      <c r="D143" s="34" t="str">
        <f t="shared" si="124"/>
        <v>I6m</v>
      </c>
      <c r="E143" s="37" t="str">
        <f t="shared" ref="E143:F144" si="131">E142</f>
        <v>火鍋、燒烤店(含廚房)</v>
      </c>
      <c r="F143" s="36">
        <f t="shared" si="131"/>
        <v>336.95</v>
      </c>
      <c r="G143" s="36">
        <v>39.4</v>
      </c>
      <c r="H143" s="36">
        <v>232.23</v>
      </c>
      <c r="I143" s="36">
        <v>248.79</v>
      </c>
      <c r="J143" s="36">
        <v>287.89</v>
      </c>
      <c r="K143" s="36">
        <v>0</v>
      </c>
      <c r="L143" s="36">
        <v>0</v>
      </c>
      <c r="M143" s="36">
        <v>0</v>
      </c>
      <c r="N143" s="36">
        <f t="shared" ref="N143:AA144" si="132">N142</f>
        <v>10</v>
      </c>
      <c r="O143" s="36">
        <f t="shared" si="132"/>
        <v>0.3</v>
      </c>
      <c r="P143" s="36">
        <f t="shared" si="132"/>
        <v>205</v>
      </c>
      <c r="Q143" s="36">
        <f t="shared" si="132"/>
        <v>5.08</v>
      </c>
      <c r="R143" s="36">
        <f t="shared" si="132"/>
        <v>10</v>
      </c>
      <c r="S143" s="36">
        <f t="shared" si="132"/>
        <v>63</v>
      </c>
      <c r="T143" s="36">
        <f t="shared" si="132"/>
        <v>3276</v>
      </c>
      <c r="U143" s="36">
        <f t="shared" si="132"/>
        <v>3276</v>
      </c>
      <c r="V143" s="36">
        <f t="shared" si="132"/>
        <v>3276</v>
      </c>
      <c r="W143" s="36">
        <f t="shared" si="132"/>
        <v>3276</v>
      </c>
      <c r="X143" s="36">
        <f t="shared" si="132"/>
        <v>3276</v>
      </c>
      <c r="Y143" s="36">
        <f t="shared" si="132"/>
        <v>3276</v>
      </c>
      <c r="Z143" s="36">
        <f t="shared" si="132"/>
        <v>3276</v>
      </c>
      <c r="AA143" s="36">
        <f t="shared" si="132"/>
        <v>365</v>
      </c>
      <c r="AB143" s="29"/>
    </row>
    <row r="144" spans="1:28">
      <c r="A144" s="7" t="s">
        <v>265</v>
      </c>
      <c r="B144" s="34" t="s">
        <v>259</v>
      </c>
      <c r="C144" s="34" t="s">
        <v>383</v>
      </c>
      <c r="D144" s="34" t="str">
        <f t="shared" si="124"/>
        <v>I6max</v>
      </c>
      <c r="E144" s="37" t="str">
        <f t="shared" si="131"/>
        <v>火鍋、燒烤店(含廚房)</v>
      </c>
      <c r="F144" s="36">
        <f t="shared" si="131"/>
        <v>336.95</v>
      </c>
      <c r="G144" s="36">
        <v>65.72</v>
      </c>
      <c r="H144" s="36">
        <v>312.48</v>
      </c>
      <c r="I144" s="36">
        <v>335.2</v>
      </c>
      <c r="J144" s="36">
        <v>388.61</v>
      </c>
      <c r="K144" s="36">
        <v>0</v>
      </c>
      <c r="L144" s="36">
        <v>0</v>
      </c>
      <c r="M144" s="36">
        <v>0</v>
      </c>
      <c r="N144" s="36">
        <f t="shared" si="132"/>
        <v>10</v>
      </c>
      <c r="O144" s="36">
        <f t="shared" si="132"/>
        <v>0.3</v>
      </c>
      <c r="P144" s="36">
        <f t="shared" si="132"/>
        <v>205</v>
      </c>
      <c r="Q144" s="36">
        <f t="shared" si="132"/>
        <v>5.08</v>
      </c>
      <c r="R144" s="36">
        <f t="shared" si="132"/>
        <v>10</v>
      </c>
      <c r="S144" s="36">
        <f t="shared" si="132"/>
        <v>63</v>
      </c>
      <c r="T144" s="36">
        <f t="shared" si="132"/>
        <v>3276</v>
      </c>
      <c r="U144" s="36">
        <f t="shared" si="132"/>
        <v>3276</v>
      </c>
      <c r="V144" s="36">
        <f t="shared" si="132"/>
        <v>3276</v>
      </c>
      <c r="W144" s="36">
        <f t="shared" si="132"/>
        <v>3276</v>
      </c>
      <c r="X144" s="36">
        <f t="shared" si="132"/>
        <v>3276</v>
      </c>
      <c r="Y144" s="36">
        <f t="shared" si="132"/>
        <v>3276</v>
      </c>
      <c r="Z144" s="36">
        <f t="shared" si="132"/>
        <v>3276</v>
      </c>
      <c r="AA144" s="36">
        <f t="shared" si="132"/>
        <v>365</v>
      </c>
      <c r="AB144" s="29"/>
    </row>
    <row r="145" spans="1:28">
      <c r="A145" s="7" t="s">
        <v>265</v>
      </c>
      <c r="B145" s="34" t="s">
        <v>260</v>
      </c>
      <c r="C145" s="34" t="s">
        <v>381</v>
      </c>
      <c r="D145" s="34" t="str">
        <f t="shared" si="124"/>
        <v>I7min</v>
      </c>
      <c r="E145" s="37" t="s">
        <v>274</v>
      </c>
      <c r="F145" s="36">
        <v>22.31</v>
      </c>
      <c r="G145" s="36">
        <v>50.95</v>
      </c>
      <c r="H145" s="36">
        <v>84.64</v>
      </c>
      <c r="I145" s="36">
        <v>89.61</v>
      </c>
      <c r="J145" s="36">
        <v>102.28</v>
      </c>
      <c r="K145" s="36">
        <v>0</v>
      </c>
      <c r="L145" s="36">
        <v>0</v>
      </c>
      <c r="M145" s="36">
        <v>0</v>
      </c>
      <c r="N145" s="36">
        <v>20</v>
      </c>
      <c r="O145" s="36">
        <v>0.2</v>
      </c>
      <c r="P145" s="36">
        <v>10</v>
      </c>
      <c r="Q145" s="36">
        <v>3.9</v>
      </c>
      <c r="R145" s="36">
        <v>10</v>
      </c>
      <c r="S145" s="36">
        <v>91</v>
      </c>
      <c r="T145" s="36">
        <v>4745</v>
      </c>
      <c r="U145" s="36">
        <v>4745</v>
      </c>
      <c r="V145" s="36">
        <v>4745</v>
      </c>
      <c r="W145" s="36">
        <v>4745</v>
      </c>
      <c r="X145" s="36">
        <v>4745</v>
      </c>
      <c r="Y145" s="36">
        <v>4745</v>
      </c>
      <c r="Z145" s="36">
        <v>4745</v>
      </c>
      <c r="AA145" s="254">
        <v>365</v>
      </c>
      <c r="AB145" s="29"/>
    </row>
    <row r="146" spans="1:28">
      <c r="A146" s="7" t="s">
        <v>265</v>
      </c>
      <c r="B146" s="34" t="s">
        <v>260</v>
      </c>
      <c r="C146" s="34" t="s">
        <v>382</v>
      </c>
      <c r="D146" s="34" t="str">
        <f t="shared" si="124"/>
        <v>I7m</v>
      </c>
      <c r="E146" s="37" t="str">
        <f t="shared" ref="E146:F147" si="133">E145</f>
        <v>百貨商場美食街 (不含專用廚房)</v>
      </c>
      <c r="F146" s="36">
        <f t="shared" si="133"/>
        <v>22.31</v>
      </c>
      <c r="G146" s="36">
        <v>101.9</v>
      </c>
      <c r="H146" s="36">
        <v>100.86</v>
      </c>
      <c r="I146" s="36">
        <v>107.05</v>
      </c>
      <c r="J146" s="36">
        <v>120.28</v>
      </c>
      <c r="K146" s="36">
        <v>0</v>
      </c>
      <c r="L146" s="36">
        <v>0</v>
      </c>
      <c r="M146" s="36">
        <v>0</v>
      </c>
      <c r="N146" s="36">
        <f t="shared" ref="N146:AA147" si="134">N145</f>
        <v>20</v>
      </c>
      <c r="O146" s="36">
        <f t="shared" si="134"/>
        <v>0.2</v>
      </c>
      <c r="P146" s="36">
        <f t="shared" si="134"/>
        <v>10</v>
      </c>
      <c r="Q146" s="36">
        <f t="shared" si="134"/>
        <v>3.9</v>
      </c>
      <c r="R146" s="36">
        <f t="shared" si="134"/>
        <v>10</v>
      </c>
      <c r="S146" s="36">
        <f t="shared" si="134"/>
        <v>91</v>
      </c>
      <c r="T146" s="36">
        <f t="shared" si="134"/>
        <v>4745</v>
      </c>
      <c r="U146" s="36">
        <f t="shared" si="134"/>
        <v>4745</v>
      </c>
      <c r="V146" s="36">
        <f t="shared" si="134"/>
        <v>4745</v>
      </c>
      <c r="W146" s="36">
        <f t="shared" si="134"/>
        <v>4745</v>
      </c>
      <c r="X146" s="36">
        <f t="shared" si="134"/>
        <v>4745</v>
      </c>
      <c r="Y146" s="36">
        <f t="shared" si="134"/>
        <v>4745</v>
      </c>
      <c r="Z146" s="36">
        <f t="shared" si="134"/>
        <v>4745</v>
      </c>
      <c r="AA146" s="36">
        <f t="shared" si="134"/>
        <v>365</v>
      </c>
      <c r="AB146" s="29"/>
    </row>
    <row r="147" spans="1:28">
      <c r="A147" s="7" t="s">
        <v>265</v>
      </c>
      <c r="B147" s="34" t="s">
        <v>260</v>
      </c>
      <c r="C147" s="34" t="s">
        <v>383</v>
      </c>
      <c r="D147" s="34" t="str">
        <f t="shared" si="124"/>
        <v>I7max</v>
      </c>
      <c r="E147" s="37" t="str">
        <f t="shared" si="133"/>
        <v>百貨商場美食街 (不含專用廚房)</v>
      </c>
      <c r="F147" s="36">
        <f t="shared" si="133"/>
        <v>22.31</v>
      </c>
      <c r="G147" s="36">
        <v>170</v>
      </c>
      <c r="H147" s="36">
        <v>156.88999999999999</v>
      </c>
      <c r="I147" s="36">
        <v>166.31</v>
      </c>
      <c r="J147" s="36">
        <v>185.81</v>
      </c>
      <c r="K147" s="36">
        <v>0</v>
      </c>
      <c r="L147" s="36">
        <v>0</v>
      </c>
      <c r="M147" s="36">
        <v>0</v>
      </c>
      <c r="N147" s="36">
        <f t="shared" si="134"/>
        <v>20</v>
      </c>
      <c r="O147" s="36">
        <f t="shared" si="134"/>
        <v>0.2</v>
      </c>
      <c r="P147" s="36">
        <f t="shared" si="134"/>
        <v>10</v>
      </c>
      <c r="Q147" s="36">
        <f t="shared" si="134"/>
        <v>3.9</v>
      </c>
      <c r="R147" s="36">
        <f t="shared" si="134"/>
        <v>10</v>
      </c>
      <c r="S147" s="36">
        <f t="shared" si="134"/>
        <v>91</v>
      </c>
      <c r="T147" s="36">
        <f t="shared" si="134"/>
        <v>4745</v>
      </c>
      <c r="U147" s="36">
        <f t="shared" si="134"/>
        <v>4745</v>
      </c>
      <c r="V147" s="36">
        <f t="shared" si="134"/>
        <v>4745</v>
      </c>
      <c r="W147" s="36">
        <f t="shared" si="134"/>
        <v>4745</v>
      </c>
      <c r="X147" s="36">
        <f t="shared" si="134"/>
        <v>4745</v>
      </c>
      <c r="Y147" s="36">
        <f t="shared" si="134"/>
        <v>4745</v>
      </c>
      <c r="Z147" s="36">
        <f t="shared" si="134"/>
        <v>4745</v>
      </c>
      <c r="AA147" s="36">
        <f t="shared" si="134"/>
        <v>365</v>
      </c>
      <c r="AB147" s="29"/>
    </row>
    <row r="148" spans="1:28">
      <c r="A148" s="7" t="s">
        <v>266</v>
      </c>
      <c r="B148" s="34" t="s">
        <v>261</v>
      </c>
      <c r="C148" s="34" t="s">
        <v>381</v>
      </c>
      <c r="D148" s="34" t="str">
        <f t="shared" si="124"/>
        <v>J1min</v>
      </c>
      <c r="E148" s="38" t="s">
        <v>275</v>
      </c>
      <c r="F148" s="36">
        <v>55</v>
      </c>
      <c r="G148" s="36">
        <v>54.8</v>
      </c>
      <c r="H148" s="36">
        <v>81.8</v>
      </c>
      <c r="I148" s="36">
        <v>86.9</v>
      </c>
      <c r="J148" s="36">
        <v>99.3</v>
      </c>
      <c r="K148" s="36">
        <v>0</v>
      </c>
      <c r="L148" s="36">
        <v>0</v>
      </c>
      <c r="M148" s="36">
        <v>0</v>
      </c>
      <c r="N148" s="36">
        <v>20</v>
      </c>
      <c r="O148" s="36">
        <v>0.2</v>
      </c>
      <c r="P148" s="36">
        <v>15</v>
      </c>
      <c r="Q148" s="36">
        <v>0.85</v>
      </c>
      <c r="R148" s="36">
        <v>10</v>
      </c>
      <c r="S148" s="36">
        <v>91</v>
      </c>
      <c r="T148" s="36">
        <v>4745</v>
      </c>
      <c r="U148" s="36">
        <v>4745</v>
      </c>
      <c r="V148" s="36">
        <v>4745</v>
      </c>
      <c r="W148" s="36">
        <v>4745</v>
      </c>
      <c r="X148" s="36">
        <v>4745</v>
      </c>
      <c r="Y148" s="36">
        <v>4745</v>
      </c>
      <c r="Z148" s="36">
        <v>4745</v>
      </c>
      <c r="AA148" s="254">
        <v>365</v>
      </c>
      <c r="AB148" s="29"/>
    </row>
    <row r="149" spans="1:28">
      <c r="A149" s="7" t="s">
        <v>266</v>
      </c>
      <c r="B149" s="34" t="s">
        <v>261</v>
      </c>
      <c r="C149" s="34" t="s">
        <v>382</v>
      </c>
      <c r="D149" s="34" t="str">
        <f t="shared" si="124"/>
        <v>J1m</v>
      </c>
      <c r="E149" s="37" t="str">
        <f t="shared" ref="E149:F150" si="135">E148</f>
        <v>12小時一般商店、百貨專櫃、名店</v>
      </c>
      <c r="F149" s="36">
        <f t="shared" si="135"/>
        <v>55</v>
      </c>
      <c r="G149" s="36">
        <v>109.5</v>
      </c>
      <c r="H149" s="36">
        <v>95.6</v>
      </c>
      <c r="I149" s="36">
        <v>101.8</v>
      </c>
      <c r="J149" s="36">
        <v>114.5</v>
      </c>
      <c r="K149" s="36">
        <v>0</v>
      </c>
      <c r="L149" s="36">
        <v>0</v>
      </c>
      <c r="M149" s="36">
        <v>0</v>
      </c>
      <c r="N149" s="36">
        <f t="shared" ref="N149:AA150" si="136">N148</f>
        <v>20</v>
      </c>
      <c r="O149" s="36">
        <f t="shared" si="136"/>
        <v>0.2</v>
      </c>
      <c r="P149" s="36">
        <f t="shared" si="136"/>
        <v>15</v>
      </c>
      <c r="Q149" s="36">
        <f t="shared" si="136"/>
        <v>0.85</v>
      </c>
      <c r="R149" s="36">
        <f t="shared" si="136"/>
        <v>10</v>
      </c>
      <c r="S149" s="36">
        <f t="shared" si="136"/>
        <v>91</v>
      </c>
      <c r="T149" s="36">
        <f t="shared" si="136"/>
        <v>4745</v>
      </c>
      <c r="U149" s="36">
        <f t="shared" si="136"/>
        <v>4745</v>
      </c>
      <c r="V149" s="36">
        <f t="shared" si="136"/>
        <v>4745</v>
      </c>
      <c r="W149" s="36">
        <f t="shared" si="136"/>
        <v>4745</v>
      </c>
      <c r="X149" s="36">
        <f t="shared" si="136"/>
        <v>4745</v>
      </c>
      <c r="Y149" s="36">
        <f t="shared" si="136"/>
        <v>4745</v>
      </c>
      <c r="Z149" s="36">
        <f t="shared" si="136"/>
        <v>4745</v>
      </c>
      <c r="AA149" s="36">
        <f t="shared" si="136"/>
        <v>365</v>
      </c>
      <c r="AB149" s="29"/>
    </row>
    <row r="150" spans="1:28">
      <c r="A150" s="7" t="s">
        <v>266</v>
      </c>
      <c r="B150" s="34" t="s">
        <v>261</v>
      </c>
      <c r="C150" s="34" t="s">
        <v>383</v>
      </c>
      <c r="D150" s="34" t="str">
        <f t="shared" si="124"/>
        <v>J1max</v>
      </c>
      <c r="E150" s="37" t="str">
        <f t="shared" si="135"/>
        <v>12小時一般商店、百貨專櫃、名店</v>
      </c>
      <c r="F150" s="36">
        <f t="shared" si="135"/>
        <v>55</v>
      </c>
      <c r="G150" s="36">
        <v>182.6</v>
      </c>
      <c r="H150" s="36">
        <v>147</v>
      </c>
      <c r="I150" s="36">
        <v>158.4</v>
      </c>
      <c r="J150" s="36">
        <v>176.8</v>
      </c>
      <c r="K150" s="36">
        <v>0</v>
      </c>
      <c r="L150" s="36">
        <v>0</v>
      </c>
      <c r="M150" s="36">
        <v>0</v>
      </c>
      <c r="N150" s="36">
        <f t="shared" si="136"/>
        <v>20</v>
      </c>
      <c r="O150" s="36">
        <f t="shared" si="136"/>
        <v>0.2</v>
      </c>
      <c r="P150" s="36">
        <f t="shared" si="136"/>
        <v>15</v>
      </c>
      <c r="Q150" s="36">
        <f t="shared" si="136"/>
        <v>0.85</v>
      </c>
      <c r="R150" s="36">
        <f t="shared" si="136"/>
        <v>10</v>
      </c>
      <c r="S150" s="36">
        <f t="shared" si="136"/>
        <v>91</v>
      </c>
      <c r="T150" s="36">
        <f t="shared" si="136"/>
        <v>4745</v>
      </c>
      <c r="U150" s="36">
        <f t="shared" si="136"/>
        <v>4745</v>
      </c>
      <c r="V150" s="36">
        <f t="shared" si="136"/>
        <v>4745</v>
      </c>
      <c r="W150" s="36">
        <f t="shared" si="136"/>
        <v>4745</v>
      </c>
      <c r="X150" s="36">
        <f t="shared" si="136"/>
        <v>4745</v>
      </c>
      <c r="Y150" s="36">
        <f t="shared" si="136"/>
        <v>4745</v>
      </c>
      <c r="Z150" s="36">
        <f t="shared" si="136"/>
        <v>4745</v>
      </c>
      <c r="AA150" s="36">
        <f t="shared" si="136"/>
        <v>365</v>
      </c>
      <c r="AB150" s="29"/>
    </row>
    <row r="151" spans="1:28">
      <c r="A151" s="7" t="s">
        <v>266</v>
      </c>
      <c r="B151" s="34" t="s">
        <v>262</v>
      </c>
      <c r="C151" s="34" t="s">
        <v>381</v>
      </c>
      <c r="D151" s="34" t="str">
        <f t="shared" si="124"/>
        <v>J2min</v>
      </c>
      <c r="E151" s="37" t="s">
        <v>269</v>
      </c>
      <c r="F151" s="36">
        <v>73.900000000000006</v>
      </c>
      <c r="G151" s="36">
        <v>76.099999999999994</v>
      </c>
      <c r="H151" s="36">
        <v>94</v>
      </c>
      <c r="I151" s="36">
        <v>99.1</v>
      </c>
      <c r="J151" s="36">
        <v>112.9</v>
      </c>
      <c r="K151" s="36">
        <v>0</v>
      </c>
      <c r="L151" s="36">
        <v>0</v>
      </c>
      <c r="M151" s="36">
        <v>0</v>
      </c>
      <c r="N151" s="36">
        <v>30</v>
      </c>
      <c r="O151" s="36">
        <v>0.2</v>
      </c>
      <c r="P151" s="36">
        <v>20</v>
      </c>
      <c r="Q151" s="36">
        <v>1.04</v>
      </c>
      <c r="R151" s="36">
        <v>15</v>
      </c>
      <c r="S151" s="36">
        <v>91</v>
      </c>
      <c r="T151" s="36">
        <v>4745</v>
      </c>
      <c r="U151" s="36">
        <v>4745</v>
      </c>
      <c r="V151" s="36">
        <v>4745</v>
      </c>
      <c r="W151" s="36">
        <v>4745</v>
      </c>
      <c r="X151" s="36">
        <v>4745</v>
      </c>
      <c r="Y151" s="36">
        <v>4745</v>
      </c>
      <c r="Z151" s="36">
        <v>4745</v>
      </c>
      <c r="AA151" s="254">
        <v>365</v>
      </c>
      <c r="AB151" s="29"/>
    </row>
    <row r="152" spans="1:28">
      <c r="A152" s="7" t="s">
        <v>266</v>
      </c>
      <c r="B152" s="34" t="s">
        <v>262</v>
      </c>
      <c r="C152" s="34" t="s">
        <v>382</v>
      </c>
      <c r="D152" s="34" t="str">
        <f t="shared" si="124"/>
        <v>J2m</v>
      </c>
      <c r="E152" s="37" t="str">
        <f t="shared" ref="E152:F153" si="137">E151</f>
        <v>12小時高照明商場(精品專櫃區)</v>
      </c>
      <c r="F152" s="36">
        <f t="shared" si="137"/>
        <v>73.900000000000006</v>
      </c>
      <c r="G152" s="36">
        <v>152.19999999999999</v>
      </c>
      <c r="H152" s="36">
        <v>116.7</v>
      </c>
      <c r="I152" s="36">
        <v>124.2</v>
      </c>
      <c r="J152" s="36">
        <v>140.1</v>
      </c>
      <c r="K152" s="36">
        <v>0</v>
      </c>
      <c r="L152" s="36">
        <v>0</v>
      </c>
      <c r="M152" s="36">
        <v>0</v>
      </c>
      <c r="N152" s="36">
        <f t="shared" ref="N152:AA153" si="138">N151</f>
        <v>30</v>
      </c>
      <c r="O152" s="36">
        <f t="shared" si="138"/>
        <v>0.2</v>
      </c>
      <c r="P152" s="36">
        <f t="shared" si="138"/>
        <v>20</v>
      </c>
      <c r="Q152" s="36">
        <f t="shared" si="138"/>
        <v>1.04</v>
      </c>
      <c r="R152" s="36">
        <f t="shared" si="138"/>
        <v>15</v>
      </c>
      <c r="S152" s="36">
        <f t="shared" si="138"/>
        <v>91</v>
      </c>
      <c r="T152" s="36">
        <f t="shared" si="138"/>
        <v>4745</v>
      </c>
      <c r="U152" s="36">
        <f t="shared" si="138"/>
        <v>4745</v>
      </c>
      <c r="V152" s="36">
        <f t="shared" si="138"/>
        <v>4745</v>
      </c>
      <c r="W152" s="36">
        <f t="shared" si="138"/>
        <v>4745</v>
      </c>
      <c r="X152" s="36">
        <f t="shared" si="138"/>
        <v>4745</v>
      </c>
      <c r="Y152" s="36">
        <f t="shared" si="138"/>
        <v>4745</v>
      </c>
      <c r="Z152" s="36">
        <f t="shared" si="138"/>
        <v>4745</v>
      </c>
      <c r="AA152" s="36">
        <f t="shared" si="138"/>
        <v>365</v>
      </c>
      <c r="AB152" s="29"/>
    </row>
    <row r="153" spans="1:28">
      <c r="A153" s="7" t="s">
        <v>266</v>
      </c>
      <c r="B153" s="34" t="s">
        <v>262</v>
      </c>
      <c r="C153" s="34" t="s">
        <v>383</v>
      </c>
      <c r="D153" s="34" t="str">
        <f t="shared" si="124"/>
        <v>J2max</v>
      </c>
      <c r="E153" s="37" t="str">
        <f t="shared" si="137"/>
        <v>12小時高照明商場(精品專櫃區)</v>
      </c>
      <c r="F153" s="36">
        <f t="shared" si="137"/>
        <v>73.900000000000006</v>
      </c>
      <c r="G153" s="36">
        <v>253.7</v>
      </c>
      <c r="H153" s="36">
        <v>181.8</v>
      </c>
      <c r="I153" s="36">
        <v>194.4</v>
      </c>
      <c r="J153" s="36">
        <v>217.3</v>
      </c>
      <c r="K153" s="36">
        <v>0</v>
      </c>
      <c r="L153" s="36">
        <v>0</v>
      </c>
      <c r="M153" s="36">
        <v>0</v>
      </c>
      <c r="N153" s="36">
        <f t="shared" si="138"/>
        <v>30</v>
      </c>
      <c r="O153" s="36">
        <f t="shared" si="138"/>
        <v>0.2</v>
      </c>
      <c r="P153" s="36">
        <f t="shared" si="138"/>
        <v>20</v>
      </c>
      <c r="Q153" s="36">
        <f t="shared" si="138"/>
        <v>1.04</v>
      </c>
      <c r="R153" s="36">
        <f t="shared" si="138"/>
        <v>15</v>
      </c>
      <c r="S153" s="36">
        <f t="shared" si="138"/>
        <v>91</v>
      </c>
      <c r="T153" s="36">
        <f t="shared" si="138"/>
        <v>4745</v>
      </c>
      <c r="U153" s="36">
        <f t="shared" si="138"/>
        <v>4745</v>
      </c>
      <c r="V153" s="36">
        <f t="shared" si="138"/>
        <v>4745</v>
      </c>
      <c r="W153" s="36">
        <f t="shared" si="138"/>
        <v>4745</v>
      </c>
      <c r="X153" s="36">
        <f t="shared" si="138"/>
        <v>4745</v>
      </c>
      <c r="Y153" s="36">
        <f t="shared" si="138"/>
        <v>4745</v>
      </c>
      <c r="Z153" s="36">
        <f t="shared" si="138"/>
        <v>4745</v>
      </c>
      <c r="AA153" s="36">
        <f t="shared" si="138"/>
        <v>365</v>
      </c>
      <c r="AB153" s="29"/>
    </row>
    <row r="154" spans="1:28">
      <c r="A154" s="7" t="s">
        <v>266</v>
      </c>
      <c r="B154" s="34" t="s">
        <v>263</v>
      </c>
      <c r="C154" s="34" t="s">
        <v>381</v>
      </c>
      <c r="D154" s="34" t="str">
        <f t="shared" si="124"/>
        <v>J3min</v>
      </c>
      <c r="E154" s="38" t="s">
        <v>276</v>
      </c>
      <c r="F154" s="36">
        <v>87.6</v>
      </c>
      <c r="G154" s="36">
        <v>105.2</v>
      </c>
      <c r="H154" s="36">
        <v>243.9</v>
      </c>
      <c r="I154" s="36">
        <v>256.3</v>
      </c>
      <c r="J154" s="36">
        <v>274.60000000000002</v>
      </c>
      <c r="K154" s="36">
        <v>0</v>
      </c>
      <c r="L154" s="36">
        <v>0</v>
      </c>
      <c r="M154" s="36">
        <v>0</v>
      </c>
      <c r="N154" s="36">
        <v>20</v>
      </c>
      <c r="O154" s="36">
        <v>0.1</v>
      </c>
      <c r="P154" s="36">
        <v>10</v>
      </c>
      <c r="Q154" s="36">
        <v>0.66</v>
      </c>
      <c r="R154" s="36">
        <v>10</v>
      </c>
      <c r="S154" s="36">
        <v>168</v>
      </c>
      <c r="T154" s="36">
        <v>8760</v>
      </c>
      <c r="U154" s="36">
        <v>8760</v>
      </c>
      <c r="V154" s="36">
        <v>8760</v>
      </c>
      <c r="W154" s="36">
        <v>8760</v>
      </c>
      <c r="X154" s="36">
        <v>8760</v>
      </c>
      <c r="Y154" s="36">
        <v>8760</v>
      </c>
      <c r="Z154" s="36">
        <v>8760</v>
      </c>
      <c r="AA154" s="254">
        <v>365</v>
      </c>
      <c r="AB154" s="29"/>
    </row>
    <row r="155" spans="1:28">
      <c r="A155" s="7" t="s">
        <v>266</v>
      </c>
      <c r="B155" s="34" t="s">
        <v>263</v>
      </c>
      <c r="C155" s="34" t="s">
        <v>382</v>
      </c>
      <c r="D155" s="34" t="str">
        <f t="shared" si="124"/>
        <v>J3m</v>
      </c>
      <c r="E155" s="37" t="str">
        <f t="shared" ref="E155:F156" si="139">E154</f>
        <v>24hr零售商店</v>
      </c>
      <c r="F155" s="36">
        <f t="shared" si="139"/>
        <v>87.6</v>
      </c>
      <c r="G155" s="36">
        <v>210.3</v>
      </c>
      <c r="H155" s="36">
        <v>368.8</v>
      </c>
      <c r="I155" s="36">
        <v>386</v>
      </c>
      <c r="J155" s="36">
        <v>423.1</v>
      </c>
      <c r="K155" s="36">
        <v>0</v>
      </c>
      <c r="L155" s="36">
        <v>0</v>
      </c>
      <c r="M155" s="36">
        <v>0</v>
      </c>
      <c r="N155" s="36">
        <f t="shared" ref="N155:AA156" si="140">N154</f>
        <v>20</v>
      </c>
      <c r="O155" s="36">
        <f t="shared" si="140"/>
        <v>0.1</v>
      </c>
      <c r="P155" s="36">
        <f t="shared" si="140"/>
        <v>10</v>
      </c>
      <c r="Q155" s="36">
        <f t="shared" si="140"/>
        <v>0.66</v>
      </c>
      <c r="R155" s="36">
        <f t="shared" si="140"/>
        <v>10</v>
      </c>
      <c r="S155" s="36">
        <f t="shared" si="140"/>
        <v>168</v>
      </c>
      <c r="T155" s="36">
        <f t="shared" si="140"/>
        <v>8760</v>
      </c>
      <c r="U155" s="36">
        <f t="shared" si="140"/>
        <v>8760</v>
      </c>
      <c r="V155" s="36">
        <f t="shared" si="140"/>
        <v>8760</v>
      </c>
      <c r="W155" s="36">
        <f t="shared" si="140"/>
        <v>8760</v>
      </c>
      <c r="X155" s="36">
        <f t="shared" si="140"/>
        <v>8760</v>
      </c>
      <c r="Y155" s="36">
        <f t="shared" si="140"/>
        <v>8760</v>
      </c>
      <c r="Z155" s="36">
        <f t="shared" si="140"/>
        <v>8760</v>
      </c>
      <c r="AA155" s="36">
        <f t="shared" si="140"/>
        <v>365</v>
      </c>
      <c r="AB155" s="29"/>
    </row>
    <row r="156" spans="1:28">
      <c r="A156" s="7" t="s">
        <v>266</v>
      </c>
      <c r="B156" s="34" t="s">
        <v>263</v>
      </c>
      <c r="C156" s="34" t="s">
        <v>383</v>
      </c>
      <c r="D156" s="34" t="str">
        <f t="shared" si="124"/>
        <v>J3max</v>
      </c>
      <c r="E156" s="37" t="str">
        <f t="shared" si="139"/>
        <v>24hr零售商店</v>
      </c>
      <c r="F156" s="36">
        <f t="shared" si="139"/>
        <v>87.6</v>
      </c>
      <c r="G156" s="36">
        <v>350.5</v>
      </c>
      <c r="H156" s="36">
        <v>545</v>
      </c>
      <c r="I156" s="36">
        <v>580.9</v>
      </c>
      <c r="J156" s="36">
        <v>641</v>
      </c>
      <c r="K156" s="36">
        <v>0</v>
      </c>
      <c r="L156" s="36">
        <v>0</v>
      </c>
      <c r="M156" s="36">
        <v>0</v>
      </c>
      <c r="N156" s="36">
        <f t="shared" si="140"/>
        <v>20</v>
      </c>
      <c r="O156" s="36">
        <f t="shared" si="140"/>
        <v>0.1</v>
      </c>
      <c r="P156" s="36">
        <f t="shared" si="140"/>
        <v>10</v>
      </c>
      <c r="Q156" s="36">
        <f t="shared" si="140"/>
        <v>0.66</v>
      </c>
      <c r="R156" s="36">
        <f t="shared" si="140"/>
        <v>10</v>
      </c>
      <c r="S156" s="36">
        <f t="shared" si="140"/>
        <v>168</v>
      </c>
      <c r="T156" s="36">
        <f t="shared" si="140"/>
        <v>8760</v>
      </c>
      <c r="U156" s="36">
        <f t="shared" si="140"/>
        <v>8760</v>
      </c>
      <c r="V156" s="36">
        <f t="shared" si="140"/>
        <v>8760</v>
      </c>
      <c r="W156" s="36">
        <f t="shared" si="140"/>
        <v>8760</v>
      </c>
      <c r="X156" s="36">
        <f t="shared" si="140"/>
        <v>8760</v>
      </c>
      <c r="Y156" s="36">
        <f t="shared" si="140"/>
        <v>8760</v>
      </c>
      <c r="Z156" s="36">
        <f t="shared" si="140"/>
        <v>8760</v>
      </c>
      <c r="AA156" s="36">
        <f t="shared" si="140"/>
        <v>365</v>
      </c>
      <c r="AB156" s="29"/>
    </row>
    <row r="157" spans="1:28">
      <c r="A157" s="7" t="s">
        <v>266</v>
      </c>
      <c r="B157" s="34" t="s">
        <v>264</v>
      </c>
      <c r="C157" s="34" t="s">
        <v>381</v>
      </c>
      <c r="D157" s="34" t="str">
        <f t="shared" si="124"/>
        <v>J4min</v>
      </c>
      <c r="E157" s="38" t="s">
        <v>277</v>
      </c>
      <c r="F157" s="36">
        <v>816.7</v>
      </c>
      <c r="G157" s="36">
        <v>76.900000000000006</v>
      </c>
      <c r="H157" s="36">
        <v>44.3</v>
      </c>
      <c r="I157" s="36">
        <v>50.1</v>
      </c>
      <c r="J157" s="36">
        <v>58.6</v>
      </c>
      <c r="K157" s="36">
        <v>0</v>
      </c>
      <c r="L157" s="36">
        <v>0</v>
      </c>
      <c r="M157" s="36">
        <v>0</v>
      </c>
      <c r="N157" s="36">
        <v>15</v>
      </c>
      <c r="O157" s="36">
        <v>0.4</v>
      </c>
      <c r="P157" s="36">
        <v>60</v>
      </c>
      <c r="Q157" s="36">
        <v>2.63</v>
      </c>
      <c r="R157" s="36">
        <v>10</v>
      </c>
      <c r="S157" s="36">
        <v>168</v>
      </c>
      <c r="T157" s="36">
        <v>8760</v>
      </c>
      <c r="U157" s="36">
        <v>8760</v>
      </c>
      <c r="V157" s="36">
        <v>8760</v>
      </c>
      <c r="W157" s="36">
        <v>8760</v>
      </c>
      <c r="X157" s="36">
        <v>8760</v>
      </c>
      <c r="Y157" s="36">
        <v>8760</v>
      </c>
      <c r="Z157" s="36">
        <v>8760</v>
      </c>
      <c r="AA157" s="254">
        <v>365</v>
      </c>
      <c r="AB157" s="29"/>
    </row>
    <row r="158" spans="1:28">
      <c r="A158" s="7" t="s">
        <v>266</v>
      </c>
      <c r="B158" s="34" t="s">
        <v>264</v>
      </c>
      <c r="C158" s="34" t="s">
        <v>382</v>
      </c>
      <c r="D158" s="34" t="str">
        <f t="shared" si="124"/>
        <v>J4m</v>
      </c>
      <c r="E158" s="37" t="str">
        <f t="shared" ref="E158:F159" si="141">E157</f>
        <v>24hr高照明商場、便利商店(沿街型)</v>
      </c>
      <c r="F158" s="36">
        <f t="shared" si="141"/>
        <v>816.7</v>
      </c>
      <c r="G158" s="36">
        <v>154</v>
      </c>
      <c r="H158" s="36">
        <v>99</v>
      </c>
      <c r="I158" s="36">
        <v>115.2</v>
      </c>
      <c r="J158" s="36">
        <v>132.9</v>
      </c>
      <c r="K158" s="36">
        <v>0</v>
      </c>
      <c r="L158" s="36">
        <v>0</v>
      </c>
      <c r="M158" s="36">
        <v>0</v>
      </c>
      <c r="N158" s="36">
        <f t="shared" ref="N158:AA159" si="142">N157</f>
        <v>15</v>
      </c>
      <c r="O158" s="36">
        <f t="shared" si="142"/>
        <v>0.4</v>
      </c>
      <c r="P158" s="36">
        <f t="shared" si="142"/>
        <v>60</v>
      </c>
      <c r="Q158" s="36">
        <f t="shared" si="142"/>
        <v>2.63</v>
      </c>
      <c r="R158" s="36">
        <f t="shared" si="142"/>
        <v>10</v>
      </c>
      <c r="S158" s="36">
        <f t="shared" si="142"/>
        <v>168</v>
      </c>
      <c r="T158" s="36">
        <f t="shared" si="142"/>
        <v>8760</v>
      </c>
      <c r="U158" s="36">
        <f t="shared" si="142"/>
        <v>8760</v>
      </c>
      <c r="V158" s="36">
        <f t="shared" si="142"/>
        <v>8760</v>
      </c>
      <c r="W158" s="36">
        <f t="shared" si="142"/>
        <v>8760</v>
      </c>
      <c r="X158" s="36">
        <f t="shared" si="142"/>
        <v>8760</v>
      </c>
      <c r="Y158" s="36">
        <f t="shared" si="142"/>
        <v>8760</v>
      </c>
      <c r="Z158" s="36">
        <f t="shared" si="142"/>
        <v>8760</v>
      </c>
      <c r="AA158" s="36">
        <f t="shared" si="142"/>
        <v>365</v>
      </c>
      <c r="AB158" s="29"/>
    </row>
    <row r="159" spans="1:28">
      <c r="A159" s="7" t="s">
        <v>266</v>
      </c>
      <c r="B159" s="34" t="s">
        <v>264</v>
      </c>
      <c r="C159" s="34" t="s">
        <v>383</v>
      </c>
      <c r="D159" s="34" t="str">
        <f t="shared" si="124"/>
        <v>J4max</v>
      </c>
      <c r="E159" s="37" t="str">
        <f t="shared" si="141"/>
        <v>24hr高照明商場、便利商店(沿街型)</v>
      </c>
      <c r="F159" s="36">
        <f t="shared" si="141"/>
        <v>816.7</v>
      </c>
      <c r="G159" s="36">
        <v>309.39999999999998</v>
      </c>
      <c r="H159" s="36">
        <v>459.9</v>
      </c>
      <c r="I159" s="36">
        <v>496.2</v>
      </c>
      <c r="J159" s="36">
        <v>567.20000000000005</v>
      </c>
      <c r="K159" s="36">
        <v>0</v>
      </c>
      <c r="L159" s="36">
        <v>0</v>
      </c>
      <c r="M159" s="36">
        <v>0</v>
      </c>
      <c r="N159" s="36">
        <f t="shared" si="142"/>
        <v>15</v>
      </c>
      <c r="O159" s="36">
        <f t="shared" si="142"/>
        <v>0.4</v>
      </c>
      <c r="P159" s="36">
        <f t="shared" si="142"/>
        <v>60</v>
      </c>
      <c r="Q159" s="36">
        <f t="shared" si="142"/>
        <v>2.63</v>
      </c>
      <c r="R159" s="36">
        <f t="shared" si="142"/>
        <v>10</v>
      </c>
      <c r="S159" s="36">
        <f t="shared" si="142"/>
        <v>168</v>
      </c>
      <c r="T159" s="36">
        <f t="shared" si="142"/>
        <v>8760</v>
      </c>
      <c r="U159" s="36">
        <f t="shared" si="142"/>
        <v>8760</v>
      </c>
      <c r="V159" s="36">
        <f t="shared" si="142"/>
        <v>8760</v>
      </c>
      <c r="W159" s="36">
        <f t="shared" si="142"/>
        <v>8760</v>
      </c>
      <c r="X159" s="36">
        <f t="shared" si="142"/>
        <v>8760</v>
      </c>
      <c r="Y159" s="36">
        <f t="shared" si="142"/>
        <v>8760</v>
      </c>
      <c r="Z159" s="36">
        <f t="shared" si="142"/>
        <v>8760</v>
      </c>
      <c r="AA159" s="36">
        <f t="shared" si="142"/>
        <v>365</v>
      </c>
      <c r="AB159" s="29"/>
    </row>
    <row r="160" spans="1:28">
      <c r="A160" s="7" t="s">
        <v>266</v>
      </c>
      <c r="B160" s="34" t="s">
        <v>293</v>
      </c>
      <c r="C160" s="34" t="s">
        <v>381</v>
      </c>
      <c r="D160" s="34" t="str">
        <f t="shared" si="124"/>
        <v>J5min</v>
      </c>
      <c r="E160" s="41" t="s">
        <v>278</v>
      </c>
      <c r="F160" s="36">
        <v>59.7</v>
      </c>
      <c r="G160" s="36">
        <v>101.8</v>
      </c>
      <c r="H160" s="36">
        <v>201.8</v>
      </c>
      <c r="I160" s="36">
        <v>206.6</v>
      </c>
      <c r="J160" s="36">
        <v>219.8</v>
      </c>
      <c r="K160" s="36">
        <v>0</v>
      </c>
      <c r="L160" s="36">
        <v>0</v>
      </c>
      <c r="M160" s="36">
        <v>0</v>
      </c>
      <c r="N160" s="36">
        <v>30</v>
      </c>
      <c r="O160" s="254">
        <v>0.2</v>
      </c>
      <c r="P160" s="36">
        <v>10</v>
      </c>
      <c r="Q160" s="36">
        <v>1.56</v>
      </c>
      <c r="R160" s="36">
        <v>10</v>
      </c>
      <c r="S160" s="36">
        <v>112</v>
      </c>
      <c r="T160" s="36">
        <v>5658</v>
      </c>
      <c r="U160" s="36">
        <v>5658</v>
      </c>
      <c r="V160" s="36">
        <v>5658</v>
      </c>
      <c r="W160" s="36">
        <v>5658</v>
      </c>
      <c r="X160" s="36">
        <v>5658</v>
      </c>
      <c r="Y160" s="36">
        <v>5658</v>
      </c>
      <c r="Z160" s="36">
        <v>5658</v>
      </c>
      <c r="AA160" s="254">
        <v>365</v>
      </c>
      <c r="AB160" s="29"/>
    </row>
    <row r="161" spans="1:28">
      <c r="A161" s="7" t="s">
        <v>266</v>
      </c>
      <c r="B161" s="34" t="str">
        <f t="shared" ref="B161:F162" si="143">B160</f>
        <v>J5</v>
      </c>
      <c r="C161" s="34" t="s">
        <v>382</v>
      </c>
      <c r="D161" s="34" t="str">
        <f t="shared" si="124"/>
        <v>J5m</v>
      </c>
      <c r="E161" s="37" t="str">
        <f t="shared" si="143"/>
        <v>15小時超市、量販店一般貨品區</v>
      </c>
      <c r="F161" s="36">
        <f t="shared" si="143"/>
        <v>59.7</v>
      </c>
      <c r="G161" s="36">
        <v>203.6</v>
      </c>
      <c r="H161" s="36">
        <v>283.89999999999998</v>
      </c>
      <c r="I161" s="36">
        <v>306.10000000000002</v>
      </c>
      <c r="J161" s="36">
        <v>327.9</v>
      </c>
      <c r="K161" s="36">
        <v>0</v>
      </c>
      <c r="L161" s="36">
        <v>0</v>
      </c>
      <c r="M161" s="36">
        <v>0</v>
      </c>
      <c r="N161" s="36">
        <f t="shared" ref="N161:AA162" si="144">N160</f>
        <v>30</v>
      </c>
      <c r="O161" s="36">
        <f t="shared" si="144"/>
        <v>0.2</v>
      </c>
      <c r="P161" s="36">
        <f t="shared" si="144"/>
        <v>10</v>
      </c>
      <c r="Q161" s="36">
        <f t="shared" si="144"/>
        <v>1.56</v>
      </c>
      <c r="R161" s="36">
        <f t="shared" si="144"/>
        <v>10</v>
      </c>
      <c r="S161" s="36">
        <f t="shared" si="144"/>
        <v>112</v>
      </c>
      <c r="T161" s="36">
        <f t="shared" si="144"/>
        <v>5658</v>
      </c>
      <c r="U161" s="36">
        <f t="shared" si="144"/>
        <v>5658</v>
      </c>
      <c r="V161" s="36">
        <f t="shared" si="144"/>
        <v>5658</v>
      </c>
      <c r="W161" s="36">
        <f t="shared" si="144"/>
        <v>5658</v>
      </c>
      <c r="X161" s="36">
        <f t="shared" si="144"/>
        <v>5658</v>
      </c>
      <c r="Y161" s="36">
        <f t="shared" si="144"/>
        <v>5658</v>
      </c>
      <c r="Z161" s="36">
        <f t="shared" si="144"/>
        <v>5658</v>
      </c>
      <c r="AA161" s="36">
        <f t="shared" si="144"/>
        <v>365</v>
      </c>
      <c r="AB161" s="29"/>
    </row>
    <row r="162" spans="1:28">
      <c r="A162" s="7" t="s">
        <v>266</v>
      </c>
      <c r="B162" s="34" t="str">
        <f t="shared" si="143"/>
        <v>J5</v>
      </c>
      <c r="C162" s="34" t="s">
        <v>383</v>
      </c>
      <c r="D162" s="34" t="str">
        <f t="shared" si="124"/>
        <v>J5max</v>
      </c>
      <c r="E162" s="37" t="str">
        <f t="shared" si="143"/>
        <v>15小時超市、量販店一般貨品區</v>
      </c>
      <c r="F162" s="36">
        <f t="shared" si="143"/>
        <v>59.7</v>
      </c>
      <c r="G162" s="36">
        <v>339.3</v>
      </c>
      <c r="H162" s="36">
        <v>430.4</v>
      </c>
      <c r="I162" s="36">
        <v>469.1</v>
      </c>
      <c r="J162" s="36">
        <v>508.8</v>
      </c>
      <c r="K162" s="36">
        <v>0</v>
      </c>
      <c r="L162" s="36">
        <v>0</v>
      </c>
      <c r="M162" s="36">
        <v>0</v>
      </c>
      <c r="N162" s="36">
        <f t="shared" si="144"/>
        <v>30</v>
      </c>
      <c r="O162" s="36">
        <f t="shared" si="144"/>
        <v>0.2</v>
      </c>
      <c r="P162" s="36">
        <f t="shared" si="144"/>
        <v>10</v>
      </c>
      <c r="Q162" s="36">
        <f t="shared" si="144"/>
        <v>1.56</v>
      </c>
      <c r="R162" s="36">
        <f t="shared" si="144"/>
        <v>10</v>
      </c>
      <c r="S162" s="36">
        <f t="shared" si="144"/>
        <v>112</v>
      </c>
      <c r="T162" s="36">
        <f t="shared" si="144"/>
        <v>5658</v>
      </c>
      <c r="U162" s="36">
        <f t="shared" si="144"/>
        <v>5658</v>
      </c>
      <c r="V162" s="36">
        <f t="shared" si="144"/>
        <v>5658</v>
      </c>
      <c r="W162" s="36">
        <f t="shared" si="144"/>
        <v>5658</v>
      </c>
      <c r="X162" s="36">
        <f t="shared" si="144"/>
        <v>5658</v>
      </c>
      <c r="Y162" s="36">
        <f t="shared" si="144"/>
        <v>5658</v>
      </c>
      <c r="Z162" s="36">
        <f t="shared" si="144"/>
        <v>5658</v>
      </c>
      <c r="AA162" s="36">
        <f t="shared" si="144"/>
        <v>365</v>
      </c>
      <c r="AB162" s="29"/>
    </row>
    <row r="163" spans="1:28">
      <c r="A163" s="7" t="s">
        <v>266</v>
      </c>
      <c r="B163" s="34" t="s">
        <v>294</v>
      </c>
      <c r="C163" s="34" t="s">
        <v>381</v>
      </c>
      <c r="D163" s="34" t="str">
        <f t="shared" si="124"/>
        <v>J6min</v>
      </c>
      <c r="E163" s="39" t="s">
        <v>279</v>
      </c>
      <c r="F163" s="36">
        <v>963.3</v>
      </c>
      <c r="G163" s="36">
        <v>26.3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5</v>
      </c>
      <c r="O163" s="254">
        <v>0.2</v>
      </c>
      <c r="P163" s="36">
        <v>210</v>
      </c>
      <c r="Q163" s="36">
        <v>0</v>
      </c>
      <c r="R163" s="36">
        <v>10</v>
      </c>
      <c r="S163" s="36">
        <v>168</v>
      </c>
      <c r="T163" s="36">
        <v>5658</v>
      </c>
      <c r="U163" s="36">
        <v>5658</v>
      </c>
      <c r="V163" s="36">
        <v>5658</v>
      </c>
      <c r="W163" s="36">
        <v>5658</v>
      </c>
      <c r="X163" s="36">
        <v>5658</v>
      </c>
      <c r="Y163" s="36">
        <v>5658</v>
      </c>
      <c r="Z163" s="36">
        <v>5658</v>
      </c>
      <c r="AA163" s="254">
        <v>365</v>
      </c>
      <c r="AB163" s="29"/>
    </row>
    <row r="164" spans="1:28">
      <c r="A164" s="7" t="s">
        <v>266</v>
      </c>
      <c r="B164" s="34" t="str">
        <f t="shared" ref="B164:F165" si="145">B163</f>
        <v>J6</v>
      </c>
      <c r="C164" s="34" t="s">
        <v>382</v>
      </c>
      <c r="D164" s="34" t="str">
        <f t="shared" si="124"/>
        <v>J6m</v>
      </c>
      <c r="E164" s="37" t="str">
        <f t="shared" si="145"/>
        <v>超市、量販店冰櫃式冷凍冷藏生鮮區</v>
      </c>
      <c r="F164" s="36">
        <f t="shared" si="145"/>
        <v>963.3</v>
      </c>
      <c r="G164" s="36">
        <v>52.6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f t="shared" ref="N164:AA165" si="146">N163</f>
        <v>5</v>
      </c>
      <c r="O164" s="36">
        <f t="shared" si="146"/>
        <v>0.2</v>
      </c>
      <c r="P164" s="36">
        <f t="shared" si="146"/>
        <v>210</v>
      </c>
      <c r="Q164" s="36">
        <f t="shared" si="146"/>
        <v>0</v>
      </c>
      <c r="R164" s="36">
        <f t="shared" si="146"/>
        <v>10</v>
      </c>
      <c r="S164" s="36">
        <f t="shared" si="146"/>
        <v>168</v>
      </c>
      <c r="T164" s="36">
        <f t="shared" si="146"/>
        <v>5658</v>
      </c>
      <c r="U164" s="36">
        <f t="shared" si="146"/>
        <v>5658</v>
      </c>
      <c r="V164" s="36">
        <f t="shared" si="146"/>
        <v>5658</v>
      </c>
      <c r="W164" s="36">
        <f t="shared" si="146"/>
        <v>5658</v>
      </c>
      <c r="X164" s="36">
        <f t="shared" si="146"/>
        <v>5658</v>
      </c>
      <c r="Y164" s="36">
        <f t="shared" si="146"/>
        <v>5658</v>
      </c>
      <c r="Z164" s="36">
        <f t="shared" si="146"/>
        <v>5658</v>
      </c>
      <c r="AA164" s="36">
        <f t="shared" si="146"/>
        <v>365</v>
      </c>
      <c r="AB164" s="29"/>
    </row>
    <row r="165" spans="1:28">
      <c r="A165" s="7" t="s">
        <v>266</v>
      </c>
      <c r="B165" s="34" t="str">
        <f t="shared" si="145"/>
        <v>J6</v>
      </c>
      <c r="C165" s="34" t="s">
        <v>383</v>
      </c>
      <c r="D165" s="34" t="str">
        <f t="shared" si="124"/>
        <v>J6max</v>
      </c>
      <c r="E165" s="37" t="str">
        <f t="shared" si="145"/>
        <v>超市、量販店冰櫃式冷凍冷藏生鮮區</v>
      </c>
      <c r="F165" s="36">
        <f t="shared" si="145"/>
        <v>963.3</v>
      </c>
      <c r="G165" s="36">
        <v>87.7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f t="shared" si="146"/>
        <v>5</v>
      </c>
      <c r="O165" s="36">
        <f t="shared" si="146"/>
        <v>0.2</v>
      </c>
      <c r="P165" s="36">
        <f t="shared" si="146"/>
        <v>210</v>
      </c>
      <c r="Q165" s="36">
        <f t="shared" si="146"/>
        <v>0</v>
      </c>
      <c r="R165" s="36">
        <f t="shared" si="146"/>
        <v>10</v>
      </c>
      <c r="S165" s="36">
        <f t="shared" si="146"/>
        <v>168</v>
      </c>
      <c r="T165" s="36">
        <f t="shared" si="146"/>
        <v>5658</v>
      </c>
      <c r="U165" s="36">
        <f t="shared" si="146"/>
        <v>5658</v>
      </c>
      <c r="V165" s="36">
        <f t="shared" si="146"/>
        <v>5658</v>
      </c>
      <c r="W165" s="36">
        <f t="shared" si="146"/>
        <v>5658</v>
      </c>
      <c r="X165" s="36">
        <f t="shared" si="146"/>
        <v>5658</v>
      </c>
      <c r="Y165" s="36">
        <f t="shared" si="146"/>
        <v>5658</v>
      </c>
      <c r="Z165" s="36">
        <f t="shared" si="146"/>
        <v>5658</v>
      </c>
      <c r="AA165" s="36">
        <f t="shared" si="146"/>
        <v>365</v>
      </c>
      <c r="AB165" s="29"/>
    </row>
    <row r="166" spans="1:28">
      <c r="A166" s="7" t="s">
        <v>266</v>
      </c>
      <c r="B166" s="34" t="s">
        <v>295</v>
      </c>
      <c r="C166" s="34" t="s">
        <v>381</v>
      </c>
      <c r="D166" s="34" t="str">
        <f t="shared" si="124"/>
        <v>J7min</v>
      </c>
      <c r="E166" s="39" t="s">
        <v>280</v>
      </c>
      <c r="F166" s="36">
        <v>17.3</v>
      </c>
      <c r="G166" s="36">
        <v>21.9</v>
      </c>
      <c r="H166" s="36">
        <v>169.6</v>
      </c>
      <c r="I166" s="36">
        <v>181.8</v>
      </c>
      <c r="J166" s="36">
        <v>209.1</v>
      </c>
      <c r="K166" s="36">
        <v>0</v>
      </c>
      <c r="L166" s="36">
        <v>0</v>
      </c>
      <c r="M166" s="36">
        <v>0</v>
      </c>
      <c r="N166" s="36">
        <v>5</v>
      </c>
      <c r="O166" s="36">
        <v>1</v>
      </c>
      <c r="P166" s="36">
        <v>5</v>
      </c>
      <c r="Q166" s="36">
        <v>6.95</v>
      </c>
      <c r="R166" s="36">
        <v>10</v>
      </c>
      <c r="S166" s="36">
        <v>86</v>
      </c>
      <c r="T166" s="36">
        <v>4498</v>
      </c>
      <c r="U166" s="36">
        <v>4498</v>
      </c>
      <c r="V166" s="36">
        <v>4498</v>
      </c>
      <c r="W166" s="36">
        <v>4498</v>
      </c>
      <c r="X166" s="36">
        <v>4498</v>
      </c>
      <c r="Y166" s="36">
        <v>4498</v>
      </c>
      <c r="Z166" s="36">
        <v>4498</v>
      </c>
      <c r="AA166" s="254">
        <v>365</v>
      </c>
      <c r="AB166" s="29"/>
    </row>
    <row r="167" spans="1:28">
      <c r="A167" s="7" t="s">
        <v>266</v>
      </c>
      <c r="B167" s="34" t="str">
        <f t="shared" ref="B167:F168" si="147">B166</f>
        <v>J7</v>
      </c>
      <c r="C167" s="34" t="s">
        <v>382</v>
      </c>
      <c r="D167" s="34" t="str">
        <f t="shared" si="124"/>
        <v>J7m</v>
      </c>
      <c r="E167" s="37" t="str">
        <f t="shared" si="147"/>
        <v>電影院、影城</v>
      </c>
      <c r="F167" s="36">
        <f t="shared" si="147"/>
        <v>17.3</v>
      </c>
      <c r="G167" s="36">
        <v>43.8</v>
      </c>
      <c r="H167" s="36">
        <v>168.4</v>
      </c>
      <c r="I167" s="36">
        <v>179.1</v>
      </c>
      <c r="J167" s="36">
        <v>203.8</v>
      </c>
      <c r="K167" s="36">
        <v>0</v>
      </c>
      <c r="L167" s="36">
        <v>0</v>
      </c>
      <c r="M167" s="36">
        <v>0</v>
      </c>
      <c r="N167" s="36">
        <f t="shared" ref="N167:AA168" si="148">N166</f>
        <v>5</v>
      </c>
      <c r="O167" s="36">
        <f t="shared" si="148"/>
        <v>1</v>
      </c>
      <c r="P167" s="36">
        <f t="shared" si="148"/>
        <v>5</v>
      </c>
      <c r="Q167" s="36">
        <f t="shared" si="148"/>
        <v>6.95</v>
      </c>
      <c r="R167" s="36">
        <f t="shared" si="148"/>
        <v>10</v>
      </c>
      <c r="S167" s="36">
        <f t="shared" si="148"/>
        <v>86</v>
      </c>
      <c r="T167" s="36">
        <f t="shared" si="148"/>
        <v>4498</v>
      </c>
      <c r="U167" s="36">
        <f t="shared" si="148"/>
        <v>4498</v>
      </c>
      <c r="V167" s="36">
        <f t="shared" si="148"/>
        <v>4498</v>
      </c>
      <c r="W167" s="36">
        <f t="shared" si="148"/>
        <v>4498</v>
      </c>
      <c r="X167" s="36">
        <f t="shared" si="148"/>
        <v>4498</v>
      </c>
      <c r="Y167" s="36">
        <f t="shared" si="148"/>
        <v>4498</v>
      </c>
      <c r="Z167" s="36">
        <f t="shared" si="148"/>
        <v>4498</v>
      </c>
      <c r="AA167" s="36">
        <f t="shared" si="148"/>
        <v>365</v>
      </c>
      <c r="AB167" s="29"/>
    </row>
    <row r="168" spans="1:28">
      <c r="A168" s="7" t="s">
        <v>266</v>
      </c>
      <c r="B168" s="34" t="str">
        <f t="shared" si="147"/>
        <v>J7</v>
      </c>
      <c r="C168" s="34" t="s">
        <v>383</v>
      </c>
      <c r="D168" s="34" t="str">
        <f t="shared" si="124"/>
        <v>J7max</v>
      </c>
      <c r="E168" s="37" t="str">
        <f t="shared" si="147"/>
        <v>電影院、影城</v>
      </c>
      <c r="F168" s="36">
        <f t="shared" si="147"/>
        <v>17.3</v>
      </c>
      <c r="G168" s="36">
        <v>73</v>
      </c>
      <c r="H168" s="36">
        <v>219.2</v>
      </c>
      <c r="I168" s="36">
        <v>238.1</v>
      </c>
      <c r="J168" s="36">
        <v>272.2</v>
      </c>
      <c r="K168" s="36">
        <v>0</v>
      </c>
      <c r="L168" s="36">
        <v>0</v>
      </c>
      <c r="M168" s="36">
        <v>0</v>
      </c>
      <c r="N168" s="36">
        <f t="shared" si="148"/>
        <v>5</v>
      </c>
      <c r="O168" s="36">
        <f t="shared" si="148"/>
        <v>1</v>
      </c>
      <c r="P168" s="36">
        <f t="shared" si="148"/>
        <v>5</v>
      </c>
      <c r="Q168" s="36">
        <f t="shared" si="148"/>
        <v>6.95</v>
      </c>
      <c r="R168" s="36">
        <f t="shared" si="148"/>
        <v>10</v>
      </c>
      <c r="S168" s="36">
        <f t="shared" si="148"/>
        <v>86</v>
      </c>
      <c r="T168" s="36">
        <f t="shared" si="148"/>
        <v>4498</v>
      </c>
      <c r="U168" s="36">
        <f t="shared" si="148"/>
        <v>4498</v>
      </c>
      <c r="V168" s="36">
        <f t="shared" si="148"/>
        <v>4498</v>
      </c>
      <c r="W168" s="36">
        <f t="shared" si="148"/>
        <v>4498</v>
      </c>
      <c r="X168" s="36">
        <f t="shared" si="148"/>
        <v>4498</v>
      </c>
      <c r="Y168" s="36">
        <f t="shared" si="148"/>
        <v>4498</v>
      </c>
      <c r="Z168" s="36">
        <f t="shared" si="148"/>
        <v>4498</v>
      </c>
      <c r="AA168" s="36">
        <f t="shared" si="148"/>
        <v>365</v>
      </c>
      <c r="AB168" s="29"/>
    </row>
    <row r="169" spans="1:28">
      <c r="A169" s="7" t="s">
        <v>266</v>
      </c>
      <c r="B169" s="34" t="s">
        <v>296</v>
      </c>
      <c r="C169" s="34" t="s">
        <v>381</v>
      </c>
      <c r="D169" s="34" t="str">
        <f t="shared" si="124"/>
        <v>J8min</v>
      </c>
      <c r="E169" s="38" t="s">
        <v>281</v>
      </c>
      <c r="F169" s="36">
        <v>467.3</v>
      </c>
      <c r="G169" s="36">
        <v>82.1</v>
      </c>
      <c r="H169" s="36">
        <v>267.39999999999998</v>
      </c>
      <c r="I169" s="36">
        <v>279.89999999999998</v>
      </c>
      <c r="J169" s="36">
        <v>316.60000000000002</v>
      </c>
      <c r="K169" s="36">
        <v>0</v>
      </c>
      <c r="L169" s="36">
        <v>0</v>
      </c>
      <c r="M169" s="36">
        <v>0</v>
      </c>
      <c r="N169" s="36">
        <v>30</v>
      </c>
      <c r="O169" s="36">
        <v>0.5</v>
      </c>
      <c r="P169" s="36">
        <v>100</v>
      </c>
      <c r="Q169" s="36">
        <v>2.68</v>
      </c>
      <c r="R169" s="36">
        <v>10</v>
      </c>
      <c r="S169" s="36">
        <v>91</v>
      </c>
      <c r="T169" s="36">
        <v>4745</v>
      </c>
      <c r="U169" s="36">
        <v>4745</v>
      </c>
      <c r="V169" s="36">
        <v>4745</v>
      </c>
      <c r="W169" s="36">
        <v>4745</v>
      </c>
      <c r="X169" s="36">
        <v>4745</v>
      </c>
      <c r="Y169" s="36">
        <v>4745</v>
      </c>
      <c r="Z169" s="36">
        <v>4745</v>
      </c>
      <c r="AA169" s="254">
        <v>365</v>
      </c>
      <c r="AB169" s="29"/>
    </row>
    <row r="170" spans="1:28">
      <c r="A170" s="7" t="s">
        <v>266</v>
      </c>
      <c r="B170" s="34" t="str">
        <f t="shared" ref="B170:F171" si="149">B169</f>
        <v>J8</v>
      </c>
      <c r="C170" s="34" t="s">
        <v>382</v>
      </c>
      <c r="D170" s="34" t="str">
        <f t="shared" si="124"/>
        <v>J8m</v>
      </c>
      <c r="E170" s="37" t="str">
        <f t="shared" si="149"/>
        <v>12小時小鋼珠店、電子遊樂場</v>
      </c>
      <c r="F170" s="36">
        <f t="shared" si="149"/>
        <v>467.3</v>
      </c>
      <c r="G170" s="36">
        <v>164.2</v>
      </c>
      <c r="H170" s="36">
        <v>275</v>
      </c>
      <c r="I170" s="36">
        <v>292.89999999999998</v>
      </c>
      <c r="J170" s="36">
        <v>326.5</v>
      </c>
      <c r="K170" s="36">
        <v>0</v>
      </c>
      <c r="L170" s="36">
        <v>0</v>
      </c>
      <c r="M170" s="36">
        <v>0</v>
      </c>
      <c r="N170" s="36">
        <f t="shared" ref="N170:AA171" si="150">N169</f>
        <v>30</v>
      </c>
      <c r="O170" s="36">
        <f t="shared" si="150"/>
        <v>0.5</v>
      </c>
      <c r="P170" s="36">
        <f t="shared" si="150"/>
        <v>100</v>
      </c>
      <c r="Q170" s="36">
        <f t="shared" si="150"/>
        <v>2.68</v>
      </c>
      <c r="R170" s="36">
        <f t="shared" si="150"/>
        <v>10</v>
      </c>
      <c r="S170" s="36">
        <f t="shared" si="150"/>
        <v>91</v>
      </c>
      <c r="T170" s="36">
        <f t="shared" si="150"/>
        <v>4745</v>
      </c>
      <c r="U170" s="36">
        <f t="shared" si="150"/>
        <v>4745</v>
      </c>
      <c r="V170" s="36">
        <f t="shared" si="150"/>
        <v>4745</v>
      </c>
      <c r="W170" s="36">
        <f t="shared" si="150"/>
        <v>4745</v>
      </c>
      <c r="X170" s="36">
        <f t="shared" si="150"/>
        <v>4745</v>
      </c>
      <c r="Y170" s="36">
        <f t="shared" si="150"/>
        <v>4745</v>
      </c>
      <c r="Z170" s="36">
        <f t="shared" si="150"/>
        <v>4745</v>
      </c>
      <c r="AA170" s="36">
        <f t="shared" si="150"/>
        <v>365</v>
      </c>
      <c r="AB170" s="29"/>
    </row>
    <row r="171" spans="1:28">
      <c r="A171" s="7" t="s">
        <v>266</v>
      </c>
      <c r="B171" s="34" t="str">
        <f t="shared" si="149"/>
        <v>J8</v>
      </c>
      <c r="C171" s="34" t="s">
        <v>383</v>
      </c>
      <c r="D171" s="34" t="str">
        <f t="shared" si="124"/>
        <v>J8max</v>
      </c>
      <c r="E171" s="37" t="str">
        <f t="shared" si="149"/>
        <v>12小時小鋼珠店、電子遊樂場</v>
      </c>
      <c r="F171" s="36">
        <f t="shared" si="149"/>
        <v>467.3</v>
      </c>
      <c r="G171" s="36">
        <v>273.8</v>
      </c>
      <c r="H171" s="36">
        <v>379.3</v>
      </c>
      <c r="I171" s="36">
        <v>402.1</v>
      </c>
      <c r="J171" s="36">
        <v>447.7</v>
      </c>
      <c r="K171" s="36">
        <v>0</v>
      </c>
      <c r="L171" s="36">
        <v>0</v>
      </c>
      <c r="M171" s="36">
        <v>0</v>
      </c>
      <c r="N171" s="36">
        <f t="shared" si="150"/>
        <v>30</v>
      </c>
      <c r="O171" s="36">
        <f t="shared" si="150"/>
        <v>0.5</v>
      </c>
      <c r="P171" s="36">
        <f t="shared" si="150"/>
        <v>100</v>
      </c>
      <c r="Q171" s="36">
        <f t="shared" si="150"/>
        <v>2.68</v>
      </c>
      <c r="R171" s="36">
        <f t="shared" si="150"/>
        <v>10</v>
      </c>
      <c r="S171" s="36">
        <f t="shared" si="150"/>
        <v>91</v>
      </c>
      <c r="T171" s="36">
        <f t="shared" si="150"/>
        <v>4745</v>
      </c>
      <c r="U171" s="36">
        <f t="shared" si="150"/>
        <v>4745</v>
      </c>
      <c r="V171" s="36">
        <f t="shared" si="150"/>
        <v>4745</v>
      </c>
      <c r="W171" s="36">
        <f t="shared" si="150"/>
        <v>4745</v>
      </c>
      <c r="X171" s="36">
        <f t="shared" si="150"/>
        <v>4745</v>
      </c>
      <c r="Y171" s="36">
        <f t="shared" si="150"/>
        <v>4745</v>
      </c>
      <c r="Z171" s="36">
        <f t="shared" si="150"/>
        <v>4745</v>
      </c>
      <c r="AA171" s="36">
        <f t="shared" si="150"/>
        <v>365</v>
      </c>
      <c r="AB171" s="29"/>
    </row>
    <row r="172" spans="1:28">
      <c r="A172" s="7" t="s">
        <v>266</v>
      </c>
      <c r="B172" s="34" t="s">
        <v>297</v>
      </c>
      <c r="C172" s="34" t="s">
        <v>381</v>
      </c>
      <c r="D172" s="34" t="str">
        <f t="shared" si="124"/>
        <v>J9min</v>
      </c>
      <c r="E172" s="38" t="s">
        <v>282</v>
      </c>
      <c r="F172" s="36">
        <v>52.4</v>
      </c>
      <c r="G172" s="36">
        <v>45</v>
      </c>
      <c r="H172" s="36">
        <v>82.1</v>
      </c>
      <c r="I172" s="36">
        <v>267.39999999999998</v>
      </c>
      <c r="J172" s="36">
        <v>279.89999999999998</v>
      </c>
      <c r="K172" s="36">
        <v>0</v>
      </c>
      <c r="L172" s="36">
        <v>0</v>
      </c>
      <c r="M172" s="36">
        <v>0</v>
      </c>
      <c r="N172" s="36">
        <v>10</v>
      </c>
      <c r="O172" s="36">
        <v>0.4</v>
      </c>
      <c r="P172" s="36">
        <v>5</v>
      </c>
      <c r="Q172" s="36">
        <v>6.86</v>
      </c>
      <c r="R172" s="36">
        <v>10</v>
      </c>
      <c r="S172" s="36">
        <v>168</v>
      </c>
      <c r="T172" s="36">
        <v>8760</v>
      </c>
      <c r="U172" s="36">
        <v>8760</v>
      </c>
      <c r="V172" s="36">
        <v>8760</v>
      </c>
      <c r="W172" s="36">
        <v>8760</v>
      </c>
      <c r="X172" s="36">
        <v>8760</v>
      </c>
      <c r="Y172" s="36">
        <v>8760</v>
      </c>
      <c r="Z172" s="36">
        <v>8760</v>
      </c>
      <c r="AA172" s="254">
        <v>365</v>
      </c>
      <c r="AB172" s="29"/>
    </row>
    <row r="173" spans="1:28">
      <c r="A173" s="7" t="s">
        <v>266</v>
      </c>
      <c r="B173" s="34" t="str">
        <f t="shared" ref="B173:F174" si="151">B172</f>
        <v>J9</v>
      </c>
      <c r="C173" s="34" t="s">
        <v>382</v>
      </c>
      <c r="D173" s="34" t="str">
        <f t="shared" si="124"/>
        <v>J9m</v>
      </c>
      <c r="E173" s="37" t="str">
        <f t="shared" si="151"/>
        <v>24小KTV</v>
      </c>
      <c r="F173" s="36">
        <f t="shared" si="151"/>
        <v>52.4</v>
      </c>
      <c r="G173" s="36">
        <v>90</v>
      </c>
      <c r="H173" s="36">
        <v>164.2</v>
      </c>
      <c r="I173" s="36">
        <v>275</v>
      </c>
      <c r="J173" s="36">
        <v>292.89999999999998</v>
      </c>
      <c r="K173" s="36">
        <v>0</v>
      </c>
      <c r="L173" s="36">
        <v>0</v>
      </c>
      <c r="M173" s="36">
        <v>0</v>
      </c>
      <c r="N173" s="36">
        <f t="shared" ref="N173:AA174" si="152">N172</f>
        <v>10</v>
      </c>
      <c r="O173" s="36">
        <f t="shared" si="152"/>
        <v>0.4</v>
      </c>
      <c r="P173" s="36">
        <f t="shared" si="152"/>
        <v>5</v>
      </c>
      <c r="Q173" s="36">
        <f t="shared" si="152"/>
        <v>6.86</v>
      </c>
      <c r="R173" s="36">
        <f t="shared" si="152"/>
        <v>10</v>
      </c>
      <c r="S173" s="36">
        <f t="shared" si="152"/>
        <v>168</v>
      </c>
      <c r="T173" s="36">
        <f t="shared" si="152"/>
        <v>8760</v>
      </c>
      <c r="U173" s="36">
        <f t="shared" si="152"/>
        <v>8760</v>
      </c>
      <c r="V173" s="36">
        <f t="shared" si="152"/>
        <v>8760</v>
      </c>
      <c r="W173" s="36">
        <f t="shared" si="152"/>
        <v>8760</v>
      </c>
      <c r="X173" s="36">
        <f t="shared" si="152"/>
        <v>8760</v>
      </c>
      <c r="Y173" s="36">
        <f t="shared" si="152"/>
        <v>8760</v>
      </c>
      <c r="Z173" s="36">
        <f t="shared" si="152"/>
        <v>8760</v>
      </c>
      <c r="AA173" s="36">
        <f t="shared" si="152"/>
        <v>365</v>
      </c>
      <c r="AB173" s="29"/>
    </row>
    <row r="174" spans="1:28">
      <c r="A174" s="7" t="s">
        <v>266</v>
      </c>
      <c r="B174" s="34" t="str">
        <f t="shared" si="151"/>
        <v>J9</v>
      </c>
      <c r="C174" s="34" t="s">
        <v>383</v>
      </c>
      <c r="D174" s="34" t="str">
        <f t="shared" si="124"/>
        <v>J9max</v>
      </c>
      <c r="E174" s="37" t="str">
        <f t="shared" si="151"/>
        <v>24小KTV</v>
      </c>
      <c r="F174" s="36">
        <f t="shared" si="151"/>
        <v>52.4</v>
      </c>
      <c r="G174" s="36">
        <v>150</v>
      </c>
      <c r="H174" s="36">
        <v>273.8</v>
      </c>
      <c r="I174" s="36">
        <v>379.3</v>
      </c>
      <c r="J174" s="36">
        <v>402.1</v>
      </c>
      <c r="K174" s="36">
        <v>0</v>
      </c>
      <c r="L174" s="36">
        <v>0</v>
      </c>
      <c r="M174" s="36">
        <v>0</v>
      </c>
      <c r="N174" s="36">
        <f t="shared" si="152"/>
        <v>10</v>
      </c>
      <c r="O174" s="36">
        <f t="shared" si="152"/>
        <v>0.4</v>
      </c>
      <c r="P174" s="36">
        <f t="shared" si="152"/>
        <v>5</v>
      </c>
      <c r="Q174" s="36">
        <f t="shared" si="152"/>
        <v>6.86</v>
      </c>
      <c r="R174" s="36">
        <f t="shared" si="152"/>
        <v>10</v>
      </c>
      <c r="S174" s="36">
        <f t="shared" si="152"/>
        <v>168</v>
      </c>
      <c r="T174" s="36">
        <f t="shared" si="152"/>
        <v>8760</v>
      </c>
      <c r="U174" s="36">
        <f t="shared" si="152"/>
        <v>8760</v>
      </c>
      <c r="V174" s="36">
        <f t="shared" si="152"/>
        <v>8760</v>
      </c>
      <c r="W174" s="36">
        <f t="shared" si="152"/>
        <v>8760</v>
      </c>
      <c r="X174" s="36">
        <f t="shared" si="152"/>
        <v>8760</v>
      </c>
      <c r="Y174" s="36">
        <f t="shared" si="152"/>
        <v>8760</v>
      </c>
      <c r="Z174" s="36">
        <f t="shared" si="152"/>
        <v>8760</v>
      </c>
      <c r="AA174" s="36">
        <f t="shared" si="152"/>
        <v>365</v>
      </c>
      <c r="AB174" s="29"/>
    </row>
    <row r="175" spans="1:28">
      <c r="A175" s="7" t="s">
        <v>266</v>
      </c>
      <c r="B175" s="34" t="s">
        <v>298</v>
      </c>
      <c r="C175" s="34" t="s">
        <v>381</v>
      </c>
      <c r="D175" s="34" t="str">
        <f t="shared" si="124"/>
        <v>J10min</v>
      </c>
      <c r="E175" s="38" t="s">
        <v>283</v>
      </c>
      <c r="F175" s="36">
        <v>251</v>
      </c>
      <c r="G175" s="36">
        <v>52.5</v>
      </c>
      <c r="H175" s="36">
        <v>45</v>
      </c>
      <c r="I175" s="36">
        <v>188</v>
      </c>
      <c r="J175" s="36">
        <v>194.6</v>
      </c>
      <c r="K175" s="36">
        <v>0</v>
      </c>
      <c r="L175" s="36">
        <v>0</v>
      </c>
      <c r="M175" s="36">
        <v>0</v>
      </c>
      <c r="N175" s="36">
        <v>10</v>
      </c>
      <c r="O175" s="36">
        <v>0.4</v>
      </c>
      <c r="P175" s="36">
        <v>60</v>
      </c>
      <c r="Q175" s="36">
        <v>6.86</v>
      </c>
      <c r="R175" s="36">
        <v>10</v>
      </c>
      <c r="S175" s="36">
        <v>168</v>
      </c>
      <c r="T175" s="36">
        <v>8760</v>
      </c>
      <c r="U175" s="36">
        <v>8760</v>
      </c>
      <c r="V175" s="36">
        <v>8760</v>
      </c>
      <c r="W175" s="36">
        <v>8760</v>
      </c>
      <c r="X175" s="36">
        <v>8760</v>
      </c>
      <c r="Y175" s="36">
        <v>8760</v>
      </c>
      <c r="Z175" s="36">
        <v>8760</v>
      </c>
      <c r="AA175" s="254">
        <v>365</v>
      </c>
      <c r="AB175" s="29"/>
    </row>
    <row r="176" spans="1:28">
      <c r="A176" s="7" t="s">
        <v>266</v>
      </c>
      <c r="B176" s="34" t="str">
        <f t="shared" ref="B176:F177" si="153">B175</f>
        <v>J10</v>
      </c>
      <c r="C176" s="34" t="s">
        <v>382</v>
      </c>
      <c r="D176" s="34" t="str">
        <f t="shared" si="124"/>
        <v>J10m</v>
      </c>
      <c r="E176" s="37" t="str">
        <f t="shared" si="153"/>
        <v>24小時網咖</v>
      </c>
      <c r="F176" s="36">
        <f t="shared" si="153"/>
        <v>251</v>
      </c>
      <c r="G176" s="36">
        <v>105.1</v>
      </c>
      <c r="H176" s="36">
        <v>90</v>
      </c>
      <c r="I176" s="36">
        <v>241</v>
      </c>
      <c r="J176" s="36">
        <v>251.4</v>
      </c>
      <c r="K176" s="36">
        <v>0</v>
      </c>
      <c r="L176" s="36">
        <v>0</v>
      </c>
      <c r="M176" s="36">
        <v>0</v>
      </c>
      <c r="N176" s="36">
        <f t="shared" ref="N176:AA177" si="154">N175</f>
        <v>10</v>
      </c>
      <c r="O176" s="36">
        <f t="shared" si="154"/>
        <v>0.4</v>
      </c>
      <c r="P176" s="36">
        <f t="shared" si="154"/>
        <v>60</v>
      </c>
      <c r="Q176" s="36">
        <f t="shared" si="154"/>
        <v>6.86</v>
      </c>
      <c r="R176" s="36">
        <f t="shared" si="154"/>
        <v>10</v>
      </c>
      <c r="S176" s="36">
        <f t="shared" si="154"/>
        <v>168</v>
      </c>
      <c r="T176" s="36">
        <f t="shared" si="154"/>
        <v>8760</v>
      </c>
      <c r="U176" s="36">
        <f t="shared" si="154"/>
        <v>8760</v>
      </c>
      <c r="V176" s="36">
        <f t="shared" si="154"/>
        <v>8760</v>
      </c>
      <c r="W176" s="36">
        <f t="shared" si="154"/>
        <v>8760</v>
      </c>
      <c r="X176" s="36">
        <f t="shared" si="154"/>
        <v>8760</v>
      </c>
      <c r="Y176" s="36">
        <f t="shared" si="154"/>
        <v>8760</v>
      </c>
      <c r="Z176" s="36">
        <f t="shared" si="154"/>
        <v>8760</v>
      </c>
      <c r="AA176" s="36">
        <f t="shared" si="154"/>
        <v>365</v>
      </c>
      <c r="AB176" s="29"/>
    </row>
    <row r="177" spans="1:28">
      <c r="A177" s="7" t="s">
        <v>266</v>
      </c>
      <c r="B177" s="34" t="str">
        <f t="shared" si="153"/>
        <v>J10</v>
      </c>
      <c r="C177" s="34" t="s">
        <v>383</v>
      </c>
      <c r="D177" s="34" t="str">
        <f t="shared" si="124"/>
        <v>J10max</v>
      </c>
      <c r="E177" s="37" t="str">
        <f t="shared" si="153"/>
        <v>24小時網咖</v>
      </c>
      <c r="F177" s="36">
        <f t="shared" si="153"/>
        <v>251</v>
      </c>
      <c r="G177" s="36">
        <v>175.2</v>
      </c>
      <c r="H177" s="36">
        <v>150</v>
      </c>
      <c r="I177" s="36">
        <v>308.3</v>
      </c>
      <c r="J177" s="36">
        <v>323.7</v>
      </c>
      <c r="K177" s="36">
        <v>0</v>
      </c>
      <c r="L177" s="36">
        <v>0</v>
      </c>
      <c r="M177" s="36">
        <v>0</v>
      </c>
      <c r="N177" s="36">
        <f t="shared" si="154"/>
        <v>10</v>
      </c>
      <c r="O177" s="36">
        <f t="shared" si="154"/>
        <v>0.4</v>
      </c>
      <c r="P177" s="36">
        <f t="shared" si="154"/>
        <v>60</v>
      </c>
      <c r="Q177" s="36">
        <f t="shared" si="154"/>
        <v>6.86</v>
      </c>
      <c r="R177" s="36">
        <f t="shared" si="154"/>
        <v>10</v>
      </c>
      <c r="S177" s="36">
        <f t="shared" si="154"/>
        <v>168</v>
      </c>
      <c r="T177" s="36">
        <f t="shared" si="154"/>
        <v>8760</v>
      </c>
      <c r="U177" s="36">
        <f t="shared" si="154"/>
        <v>8760</v>
      </c>
      <c r="V177" s="36">
        <f t="shared" si="154"/>
        <v>8760</v>
      </c>
      <c r="W177" s="36">
        <f t="shared" si="154"/>
        <v>8760</v>
      </c>
      <c r="X177" s="36">
        <f t="shared" si="154"/>
        <v>8760</v>
      </c>
      <c r="Y177" s="36">
        <f t="shared" si="154"/>
        <v>8760</v>
      </c>
      <c r="Z177" s="36">
        <f t="shared" si="154"/>
        <v>8760</v>
      </c>
      <c r="AA177" s="36">
        <f t="shared" si="154"/>
        <v>365</v>
      </c>
      <c r="AB177" s="29"/>
    </row>
    <row r="178" spans="1:28">
      <c r="A178" s="7" t="s">
        <v>308</v>
      </c>
      <c r="B178" s="34" t="s">
        <v>299</v>
      </c>
      <c r="C178" s="34" t="s">
        <v>381</v>
      </c>
      <c r="D178" s="34" t="str">
        <f t="shared" si="124"/>
        <v>K1min</v>
      </c>
      <c r="E178" s="39" t="s">
        <v>284</v>
      </c>
      <c r="F178" s="36">
        <v>13.2</v>
      </c>
      <c r="G178" s="36">
        <v>36.200000000000003</v>
      </c>
      <c r="H178" s="36">
        <v>54.62</v>
      </c>
      <c r="I178" s="36">
        <v>57.98</v>
      </c>
      <c r="J178" s="36">
        <v>64.510000000000005</v>
      </c>
      <c r="K178" s="36">
        <v>0</v>
      </c>
      <c r="L178" s="36">
        <v>0</v>
      </c>
      <c r="M178" s="36">
        <v>0</v>
      </c>
      <c r="N178" s="36">
        <v>5</v>
      </c>
      <c r="O178" s="36">
        <v>0.05</v>
      </c>
      <c r="P178" s="36">
        <v>3</v>
      </c>
      <c r="Q178" s="36">
        <v>104.03</v>
      </c>
      <c r="R178" s="36">
        <v>25</v>
      </c>
      <c r="S178" s="36">
        <v>168</v>
      </c>
      <c r="T178" s="36">
        <v>8760</v>
      </c>
      <c r="U178" s="36">
        <v>8760</v>
      </c>
      <c r="V178" s="36">
        <v>8760</v>
      </c>
      <c r="W178" s="36">
        <v>8760</v>
      </c>
      <c r="X178" s="36">
        <v>8760</v>
      </c>
      <c r="Y178" s="36">
        <v>8760</v>
      </c>
      <c r="Z178" s="36">
        <v>8760</v>
      </c>
      <c r="AA178" s="36">
        <v>365</v>
      </c>
      <c r="AB178" s="29"/>
    </row>
    <row r="179" spans="1:28">
      <c r="A179" s="7" t="s">
        <v>308</v>
      </c>
      <c r="B179" s="34" t="str">
        <f t="shared" ref="B179:F180" si="155">B178</f>
        <v>K1</v>
      </c>
      <c r="C179" s="34" t="s">
        <v>382</v>
      </c>
      <c r="D179" s="34" t="str">
        <f t="shared" si="124"/>
        <v>K1m</v>
      </c>
      <c r="E179" s="37" t="str">
        <f t="shared" si="155"/>
        <v>醫院病房區</v>
      </c>
      <c r="F179" s="36">
        <f t="shared" si="155"/>
        <v>13.2</v>
      </c>
      <c r="G179" s="36">
        <v>45.39</v>
      </c>
      <c r="H179" s="36">
        <v>64.489999999999995</v>
      </c>
      <c r="I179" s="36">
        <v>68.540000000000006</v>
      </c>
      <c r="J179" s="36">
        <v>76</v>
      </c>
      <c r="K179" s="36">
        <v>0</v>
      </c>
      <c r="L179" s="36">
        <v>0</v>
      </c>
      <c r="M179" s="36">
        <v>0</v>
      </c>
      <c r="N179" s="36">
        <f t="shared" ref="N179:AA180" si="156">N178</f>
        <v>5</v>
      </c>
      <c r="O179" s="36">
        <f t="shared" si="156"/>
        <v>0.05</v>
      </c>
      <c r="P179" s="36">
        <f t="shared" si="156"/>
        <v>3</v>
      </c>
      <c r="Q179" s="36">
        <f t="shared" si="156"/>
        <v>104.03</v>
      </c>
      <c r="R179" s="36">
        <f t="shared" si="156"/>
        <v>25</v>
      </c>
      <c r="S179" s="36">
        <f t="shared" si="156"/>
        <v>168</v>
      </c>
      <c r="T179" s="36">
        <f t="shared" si="156"/>
        <v>8760</v>
      </c>
      <c r="U179" s="36">
        <f t="shared" si="156"/>
        <v>8760</v>
      </c>
      <c r="V179" s="36">
        <f t="shared" si="156"/>
        <v>8760</v>
      </c>
      <c r="W179" s="36">
        <f t="shared" si="156"/>
        <v>8760</v>
      </c>
      <c r="X179" s="36">
        <f t="shared" si="156"/>
        <v>8760</v>
      </c>
      <c r="Y179" s="36">
        <f t="shared" si="156"/>
        <v>8760</v>
      </c>
      <c r="Z179" s="36">
        <f t="shared" si="156"/>
        <v>8760</v>
      </c>
      <c r="AA179" s="36">
        <f t="shared" si="156"/>
        <v>365</v>
      </c>
      <c r="AB179" s="29"/>
    </row>
    <row r="180" spans="1:28">
      <c r="A180" s="7" t="s">
        <v>308</v>
      </c>
      <c r="B180" s="34" t="str">
        <f t="shared" si="155"/>
        <v>K1</v>
      </c>
      <c r="C180" s="34" t="s">
        <v>383</v>
      </c>
      <c r="D180" s="34" t="str">
        <f t="shared" si="124"/>
        <v>K1max</v>
      </c>
      <c r="E180" s="37" t="str">
        <f t="shared" si="155"/>
        <v>醫院病房區</v>
      </c>
      <c r="F180" s="36">
        <f t="shared" si="155"/>
        <v>13.2</v>
      </c>
      <c r="G180" s="36">
        <v>54.6</v>
      </c>
      <c r="H180" s="36">
        <v>73.98</v>
      </c>
      <c r="I180" s="36">
        <v>78.73</v>
      </c>
      <c r="J180" s="36">
        <v>86.99</v>
      </c>
      <c r="K180" s="36">
        <v>0</v>
      </c>
      <c r="L180" s="36">
        <v>0</v>
      </c>
      <c r="M180" s="36">
        <v>0</v>
      </c>
      <c r="N180" s="36">
        <f t="shared" si="156"/>
        <v>5</v>
      </c>
      <c r="O180" s="36">
        <f t="shared" si="156"/>
        <v>0.05</v>
      </c>
      <c r="P180" s="36">
        <f t="shared" si="156"/>
        <v>3</v>
      </c>
      <c r="Q180" s="36">
        <f t="shared" si="156"/>
        <v>104.03</v>
      </c>
      <c r="R180" s="36">
        <f t="shared" si="156"/>
        <v>25</v>
      </c>
      <c r="S180" s="36">
        <f t="shared" si="156"/>
        <v>168</v>
      </c>
      <c r="T180" s="36">
        <f t="shared" si="156"/>
        <v>8760</v>
      </c>
      <c r="U180" s="36">
        <f t="shared" si="156"/>
        <v>8760</v>
      </c>
      <c r="V180" s="36">
        <f t="shared" si="156"/>
        <v>8760</v>
      </c>
      <c r="W180" s="36">
        <f t="shared" si="156"/>
        <v>8760</v>
      </c>
      <c r="X180" s="36">
        <f t="shared" si="156"/>
        <v>8760</v>
      </c>
      <c r="Y180" s="36">
        <f t="shared" si="156"/>
        <v>8760</v>
      </c>
      <c r="Z180" s="36">
        <f t="shared" si="156"/>
        <v>8760</v>
      </c>
      <c r="AA180" s="36">
        <f t="shared" si="156"/>
        <v>365</v>
      </c>
      <c r="AB180" s="29"/>
    </row>
    <row r="181" spans="1:28">
      <c r="A181" s="7" t="s">
        <v>308</v>
      </c>
      <c r="B181" s="34" t="s">
        <v>300</v>
      </c>
      <c r="C181" s="34" t="s">
        <v>381</v>
      </c>
      <c r="D181" s="34" t="str">
        <f t="shared" si="124"/>
        <v>K2min</v>
      </c>
      <c r="E181" s="37" t="s">
        <v>285</v>
      </c>
      <c r="F181" s="36">
        <v>51.57</v>
      </c>
      <c r="G181" s="36">
        <v>43.65</v>
      </c>
      <c r="H181" s="36">
        <v>115.97</v>
      </c>
      <c r="I181" s="36">
        <v>120.58</v>
      </c>
      <c r="J181" s="36">
        <v>136.41</v>
      </c>
      <c r="K181" s="36">
        <v>0</v>
      </c>
      <c r="L181" s="36">
        <v>0</v>
      </c>
      <c r="M181" s="36">
        <v>0</v>
      </c>
      <c r="N181" s="36">
        <v>9</v>
      </c>
      <c r="O181" s="36">
        <v>0.1</v>
      </c>
      <c r="P181" s="36">
        <v>13</v>
      </c>
      <c r="Q181" s="36">
        <v>3.38</v>
      </c>
      <c r="R181" s="36">
        <v>25</v>
      </c>
      <c r="S181" s="36">
        <v>43</v>
      </c>
      <c r="T181" s="36">
        <v>2336</v>
      </c>
      <c r="U181" s="36">
        <v>2336</v>
      </c>
      <c r="V181" s="36">
        <v>2336</v>
      </c>
      <c r="W181" s="36">
        <v>2336</v>
      </c>
      <c r="X181" s="36">
        <v>2336</v>
      </c>
      <c r="Y181" s="36">
        <v>2336</v>
      </c>
      <c r="Z181" s="36">
        <v>2336</v>
      </c>
      <c r="AA181" s="36">
        <v>292</v>
      </c>
      <c r="AB181" s="29"/>
    </row>
    <row r="182" spans="1:28">
      <c r="A182" s="7" t="s">
        <v>308</v>
      </c>
      <c r="B182" s="34" t="str">
        <f t="shared" ref="B182:F183" si="157">B181</f>
        <v>K2</v>
      </c>
      <c r="C182" s="34" t="s">
        <v>382</v>
      </c>
      <c r="D182" s="34" t="str">
        <f t="shared" si="124"/>
        <v>K2m</v>
      </c>
      <c r="E182" s="37" t="str">
        <f t="shared" si="157"/>
        <v>門診醫療空間或 G-3類之小醫院、私人診所</v>
      </c>
      <c r="F182" s="36">
        <f t="shared" si="157"/>
        <v>51.57</v>
      </c>
      <c r="G182" s="36">
        <v>54.45</v>
      </c>
      <c r="H182" s="36">
        <v>137.09</v>
      </c>
      <c r="I182" s="36">
        <v>142.75</v>
      </c>
      <c r="J182" s="36">
        <v>161.21</v>
      </c>
      <c r="K182" s="36">
        <v>0</v>
      </c>
      <c r="L182" s="36">
        <v>0</v>
      </c>
      <c r="M182" s="36">
        <v>0</v>
      </c>
      <c r="N182" s="36">
        <f t="shared" ref="N182:AA183" si="158">N181</f>
        <v>9</v>
      </c>
      <c r="O182" s="36">
        <f t="shared" si="158"/>
        <v>0.1</v>
      </c>
      <c r="P182" s="36">
        <f t="shared" si="158"/>
        <v>13</v>
      </c>
      <c r="Q182" s="36">
        <f t="shared" si="158"/>
        <v>3.38</v>
      </c>
      <c r="R182" s="36">
        <f t="shared" si="158"/>
        <v>25</v>
      </c>
      <c r="S182" s="36">
        <f t="shared" si="158"/>
        <v>43</v>
      </c>
      <c r="T182" s="36">
        <f t="shared" si="158"/>
        <v>2336</v>
      </c>
      <c r="U182" s="36">
        <f t="shared" si="158"/>
        <v>2336</v>
      </c>
      <c r="V182" s="36">
        <f t="shared" si="158"/>
        <v>2336</v>
      </c>
      <c r="W182" s="36">
        <f t="shared" si="158"/>
        <v>2336</v>
      </c>
      <c r="X182" s="36">
        <f t="shared" si="158"/>
        <v>2336</v>
      </c>
      <c r="Y182" s="36">
        <f t="shared" si="158"/>
        <v>2336</v>
      </c>
      <c r="Z182" s="36">
        <f t="shared" si="158"/>
        <v>2336</v>
      </c>
      <c r="AA182" s="36">
        <f t="shared" si="158"/>
        <v>292</v>
      </c>
      <c r="AB182" s="29"/>
    </row>
    <row r="183" spans="1:28">
      <c r="A183" s="7" t="s">
        <v>308</v>
      </c>
      <c r="B183" s="34" t="str">
        <f t="shared" si="157"/>
        <v>K2</v>
      </c>
      <c r="C183" s="34" t="s">
        <v>383</v>
      </c>
      <c r="D183" s="34" t="str">
        <f t="shared" si="124"/>
        <v>K2max</v>
      </c>
      <c r="E183" s="37" t="str">
        <f t="shared" si="157"/>
        <v>門診醫療空間或 G-3類之小醫院、私人診所</v>
      </c>
      <c r="F183" s="36">
        <f t="shared" si="157"/>
        <v>51.57</v>
      </c>
      <c r="G183" s="36">
        <v>65.260000000000005</v>
      </c>
      <c r="H183" s="36">
        <v>156.97</v>
      </c>
      <c r="I183" s="36">
        <v>163.75</v>
      </c>
      <c r="J183" s="36">
        <v>184.42</v>
      </c>
      <c r="K183" s="36">
        <v>0</v>
      </c>
      <c r="L183" s="36">
        <v>0</v>
      </c>
      <c r="M183" s="36">
        <v>0</v>
      </c>
      <c r="N183" s="36">
        <f t="shared" si="158"/>
        <v>9</v>
      </c>
      <c r="O183" s="36">
        <f t="shared" si="158"/>
        <v>0.1</v>
      </c>
      <c r="P183" s="36">
        <f t="shared" si="158"/>
        <v>13</v>
      </c>
      <c r="Q183" s="36">
        <f t="shared" si="158"/>
        <v>3.38</v>
      </c>
      <c r="R183" s="36">
        <f t="shared" si="158"/>
        <v>25</v>
      </c>
      <c r="S183" s="36">
        <f t="shared" si="158"/>
        <v>43</v>
      </c>
      <c r="T183" s="36">
        <f t="shared" si="158"/>
        <v>2336</v>
      </c>
      <c r="U183" s="36">
        <f t="shared" si="158"/>
        <v>2336</v>
      </c>
      <c r="V183" s="36">
        <f t="shared" si="158"/>
        <v>2336</v>
      </c>
      <c r="W183" s="36">
        <f t="shared" si="158"/>
        <v>2336</v>
      </c>
      <c r="X183" s="36">
        <f t="shared" si="158"/>
        <v>2336</v>
      </c>
      <c r="Y183" s="36">
        <f t="shared" si="158"/>
        <v>2336</v>
      </c>
      <c r="Z183" s="36">
        <f t="shared" si="158"/>
        <v>2336</v>
      </c>
      <c r="AA183" s="36">
        <f t="shared" si="158"/>
        <v>292</v>
      </c>
      <c r="AB183" s="29"/>
    </row>
    <row r="184" spans="1:28">
      <c r="A184" s="7" t="s">
        <v>308</v>
      </c>
      <c r="B184" s="34" t="s">
        <v>301</v>
      </c>
      <c r="C184" s="34" t="s">
        <v>381</v>
      </c>
      <c r="D184" s="34" t="str">
        <f t="shared" si="124"/>
        <v>K3min</v>
      </c>
      <c r="E184" s="38" t="s">
        <v>286</v>
      </c>
      <c r="F184" s="36">
        <v>235.76</v>
      </c>
      <c r="G184" s="36">
        <v>82.55</v>
      </c>
      <c r="H184" s="36">
        <v>232.22</v>
      </c>
      <c r="I184" s="36">
        <v>232.57</v>
      </c>
      <c r="J184" s="36">
        <v>249.44</v>
      </c>
      <c r="K184" s="36">
        <v>0</v>
      </c>
      <c r="L184" s="36">
        <v>0</v>
      </c>
      <c r="M184" s="36">
        <v>0</v>
      </c>
      <c r="N184" s="36">
        <v>9</v>
      </c>
      <c r="O184" s="36">
        <v>0.05</v>
      </c>
      <c r="P184" s="36">
        <v>27</v>
      </c>
      <c r="Q184" s="36">
        <v>5.84</v>
      </c>
      <c r="R184" s="36">
        <v>25</v>
      </c>
      <c r="S184" s="36">
        <v>168</v>
      </c>
      <c r="T184" s="36">
        <v>8760</v>
      </c>
      <c r="U184" s="36">
        <v>8760</v>
      </c>
      <c r="V184" s="36">
        <v>8760</v>
      </c>
      <c r="W184" s="36">
        <v>8760</v>
      </c>
      <c r="X184" s="36">
        <v>8760</v>
      </c>
      <c r="Y184" s="36">
        <v>8760</v>
      </c>
      <c r="Z184" s="36">
        <v>8760</v>
      </c>
      <c r="AA184" s="36">
        <v>365</v>
      </c>
      <c r="AB184" s="29"/>
    </row>
    <row r="185" spans="1:28">
      <c r="A185" s="7" t="s">
        <v>308</v>
      </c>
      <c r="B185" s="34" t="str">
        <f t="shared" ref="B185:F186" si="159">B184</f>
        <v>K3</v>
      </c>
      <c r="C185" s="34" t="s">
        <v>382</v>
      </c>
      <c r="D185" s="34" t="str">
        <f t="shared" si="124"/>
        <v>K3m</v>
      </c>
      <c r="E185" s="37" t="str">
        <f t="shared" si="159"/>
        <v>24小時加護病房區、急診部</v>
      </c>
      <c r="F185" s="36">
        <f t="shared" si="159"/>
        <v>235.76</v>
      </c>
      <c r="G185" s="36">
        <v>102.98</v>
      </c>
      <c r="H185" s="36">
        <v>272.29000000000002</v>
      </c>
      <c r="I185" s="36">
        <v>272.88</v>
      </c>
      <c r="J185" s="36">
        <v>292.44</v>
      </c>
      <c r="K185" s="36">
        <v>0</v>
      </c>
      <c r="L185" s="36">
        <v>0</v>
      </c>
      <c r="M185" s="36">
        <v>0</v>
      </c>
      <c r="N185" s="36">
        <f t="shared" ref="N185:AA186" si="160">N184</f>
        <v>9</v>
      </c>
      <c r="O185" s="36">
        <f t="shared" si="160"/>
        <v>0.05</v>
      </c>
      <c r="P185" s="36">
        <f t="shared" si="160"/>
        <v>27</v>
      </c>
      <c r="Q185" s="36">
        <f t="shared" si="160"/>
        <v>5.84</v>
      </c>
      <c r="R185" s="36">
        <f t="shared" si="160"/>
        <v>25</v>
      </c>
      <c r="S185" s="36">
        <f t="shared" si="160"/>
        <v>168</v>
      </c>
      <c r="T185" s="36">
        <f t="shared" si="160"/>
        <v>8760</v>
      </c>
      <c r="U185" s="36">
        <f t="shared" si="160"/>
        <v>8760</v>
      </c>
      <c r="V185" s="36">
        <f t="shared" si="160"/>
        <v>8760</v>
      </c>
      <c r="W185" s="36">
        <f t="shared" si="160"/>
        <v>8760</v>
      </c>
      <c r="X185" s="36">
        <f t="shared" si="160"/>
        <v>8760</v>
      </c>
      <c r="Y185" s="36">
        <f t="shared" si="160"/>
        <v>8760</v>
      </c>
      <c r="Z185" s="36">
        <f t="shared" si="160"/>
        <v>8760</v>
      </c>
      <c r="AA185" s="36">
        <f t="shared" si="160"/>
        <v>365</v>
      </c>
      <c r="AB185" s="29"/>
    </row>
    <row r="186" spans="1:28">
      <c r="A186" s="7" t="s">
        <v>308</v>
      </c>
      <c r="B186" s="34" t="str">
        <f t="shared" si="159"/>
        <v>K3</v>
      </c>
      <c r="C186" s="34" t="s">
        <v>383</v>
      </c>
      <c r="D186" s="34" t="str">
        <f t="shared" si="124"/>
        <v>K3max</v>
      </c>
      <c r="E186" s="37" t="str">
        <f t="shared" si="159"/>
        <v>24小時加護病房區、急診部</v>
      </c>
      <c r="F186" s="36">
        <f t="shared" si="159"/>
        <v>235.76</v>
      </c>
      <c r="G186" s="36">
        <v>123.41</v>
      </c>
      <c r="H186" s="36">
        <v>307.58</v>
      </c>
      <c r="I186" s="36">
        <v>308.36</v>
      </c>
      <c r="J186" s="36">
        <v>330.13</v>
      </c>
      <c r="K186" s="36">
        <v>0</v>
      </c>
      <c r="L186" s="36">
        <v>0</v>
      </c>
      <c r="M186" s="36">
        <v>0</v>
      </c>
      <c r="N186" s="36">
        <f t="shared" si="160"/>
        <v>9</v>
      </c>
      <c r="O186" s="36">
        <f t="shared" si="160"/>
        <v>0.05</v>
      </c>
      <c r="P186" s="36">
        <f t="shared" si="160"/>
        <v>27</v>
      </c>
      <c r="Q186" s="36">
        <f t="shared" si="160"/>
        <v>5.84</v>
      </c>
      <c r="R186" s="36">
        <f t="shared" si="160"/>
        <v>25</v>
      </c>
      <c r="S186" s="36">
        <f t="shared" si="160"/>
        <v>168</v>
      </c>
      <c r="T186" s="36">
        <f t="shared" si="160"/>
        <v>8760</v>
      </c>
      <c r="U186" s="36">
        <f t="shared" si="160"/>
        <v>8760</v>
      </c>
      <c r="V186" s="36">
        <f t="shared" si="160"/>
        <v>8760</v>
      </c>
      <c r="W186" s="36">
        <f t="shared" si="160"/>
        <v>8760</v>
      </c>
      <c r="X186" s="36">
        <f t="shared" si="160"/>
        <v>8760</v>
      </c>
      <c r="Y186" s="36">
        <f t="shared" si="160"/>
        <v>8760</v>
      </c>
      <c r="Z186" s="36">
        <f t="shared" si="160"/>
        <v>8760</v>
      </c>
      <c r="AA186" s="36">
        <f t="shared" si="160"/>
        <v>365</v>
      </c>
      <c r="AB186" s="29"/>
    </row>
    <row r="187" spans="1:28">
      <c r="A187" s="7" t="s">
        <v>308</v>
      </c>
      <c r="B187" s="34" t="s">
        <v>302</v>
      </c>
      <c r="C187" s="34" t="s">
        <v>381</v>
      </c>
      <c r="D187" s="34" t="str">
        <f t="shared" si="124"/>
        <v>K4min</v>
      </c>
      <c r="E187" s="38" t="s">
        <v>287</v>
      </c>
      <c r="F187" s="36">
        <v>180.73</v>
      </c>
      <c r="G187" s="36">
        <v>108.43</v>
      </c>
      <c r="H187" s="36">
        <v>292.68</v>
      </c>
      <c r="I187" s="36">
        <v>293.98</v>
      </c>
      <c r="J187" s="36">
        <v>321.87</v>
      </c>
      <c r="K187" s="36">
        <v>0</v>
      </c>
      <c r="L187" s="36">
        <v>0</v>
      </c>
      <c r="M187" s="36">
        <v>0</v>
      </c>
      <c r="N187" s="36">
        <v>13</v>
      </c>
      <c r="O187" s="36">
        <v>0.1</v>
      </c>
      <c r="P187" s="36">
        <v>27</v>
      </c>
      <c r="Q187" s="36">
        <v>8.8699999999999992</v>
      </c>
      <c r="R187" s="36">
        <v>25</v>
      </c>
      <c r="S187" s="36">
        <v>168</v>
      </c>
      <c r="T187" s="36">
        <v>8760</v>
      </c>
      <c r="U187" s="36">
        <v>8760</v>
      </c>
      <c r="V187" s="36">
        <v>8760</v>
      </c>
      <c r="W187" s="36">
        <v>8760</v>
      </c>
      <c r="X187" s="36">
        <v>8760</v>
      </c>
      <c r="Y187" s="36">
        <v>8760</v>
      </c>
      <c r="Z187" s="36">
        <v>8760</v>
      </c>
      <c r="AA187" s="36">
        <v>365</v>
      </c>
      <c r="AB187" s="29"/>
    </row>
    <row r="188" spans="1:28">
      <c r="A188" s="7" t="s">
        <v>308</v>
      </c>
      <c r="B188" s="34" t="str">
        <f t="shared" ref="B188:F189" si="161">B187</f>
        <v>K4</v>
      </c>
      <c r="C188" s="34" t="s">
        <v>382</v>
      </c>
      <c r="D188" s="34" t="str">
        <f t="shared" si="124"/>
        <v>K4m</v>
      </c>
      <c r="E188" s="37" t="str">
        <f t="shared" si="161"/>
        <v>24小時手術房區、檢驗部</v>
      </c>
      <c r="F188" s="36">
        <f t="shared" si="161"/>
        <v>180.73</v>
      </c>
      <c r="G188" s="36">
        <v>135.91</v>
      </c>
      <c r="H188" s="36">
        <v>346.58</v>
      </c>
      <c r="I188" s="36">
        <v>348.37</v>
      </c>
      <c r="J188" s="36">
        <v>380.87</v>
      </c>
      <c r="K188" s="36">
        <v>0</v>
      </c>
      <c r="L188" s="36">
        <v>0</v>
      </c>
      <c r="M188" s="36">
        <v>0</v>
      </c>
      <c r="N188" s="36">
        <f t="shared" ref="N188:AA189" si="162">N187</f>
        <v>13</v>
      </c>
      <c r="O188" s="36">
        <f t="shared" si="162"/>
        <v>0.1</v>
      </c>
      <c r="P188" s="36">
        <f t="shared" si="162"/>
        <v>27</v>
      </c>
      <c r="Q188" s="36">
        <f t="shared" si="162"/>
        <v>8.8699999999999992</v>
      </c>
      <c r="R188" s="36">
        <f t="shared" si="162"/>
        <v>25</v>
      </c>
      <c r="S188" s="36">
        <f t="shared" si="162"/>
        <v>168</v>
      </c>
      <c r="T188" s="36">
        <f t="shared" si="162"/>
        <v>8760</v>
      </c>
      <c r="U188" s="36">
        <f t="shared" si="162"/>
        <v>8760</v>
      </c>
      <c r="V188" s="36">
        <f t="shared" si="162"/>
        <v>8760</v>
      </c>
      <c r="W188" s="36">
        <f t="shared" si="162"/>
        <v>8760</v>
      </c>
      <c r="X188" s="36">
        <f t="shared" si="162"/>
        <v>8760</v>
      </c>
      <c r="Y188" s="36">
        <f t="shared" si="162"/>
        <v>8760</v>
      </c>
      <c r="Z188" s="36">
        <f t="shared" si="162"/>
        <v>8760</v>
      </c>
      <c r="AA188" s="36">
        <f t="shared" si="162"/>
        <v>365</v>
      </c>
      <c r="AB188" s="29"/>
    </row>
    <row r="189" spans="1:28">
      <c r="A189" s="7" t="s">
        <v>308</v>
      </c>
      <c r="B189" s="34" t="str">
        <f t="shared" si="161"/>
        <v>K4</v>
      </c>
      <c r="C189" s="34" t="s">
        <v>383</v>
      </c>
      <c r="D189" s="34" t="str">
        <f t="shared" si="124"/>
        <v>K4max</v>
      </c>
      <c r="E189" s="37" t="str">
        <f t="shared" si="161"/>
        <v>24小時手術房區、檢驗部</v>
      </c>
      <c r="F189" s="36">
        <f t="shared" si="161"/>
        <v>180.73</v>
      </c>
      <c r="G189" s="36">
        <v>162.66</v>
      </c>
      <c r="H189" s="36">
        <v>395.52</v>
      </c>
      <c r="I189" s="36">
        <v>397.86</v>
      </c>
      <c r="J189" s="36">
        <v>434.22</v>
      </c>
      <c r="K189" s="36">
        <v>0</v>
      </c>
      <c r="L189" s="36">
        <v>0</v>
      </c>
      <c r="M189" s="36">
        <v>0</v>
      </c>
      <c r="N189" s="36">
        <f t="shared" si="162"/>
        <v>13</v>
      </c>
      <c r="O189" s="36">
        <f t="shared" si="162"/>
        <v>0.1</v>
      </c>
      <c r="P189" s="36">
        <f t="shared" si="162"/>
        <v>27</v>
      </c>
      <c r="Q189" s="36">
        <f t="shared" si="162"/>
        <v>8.8699999999999992</v>
      </c>
      <c r="R189" s="36">
        <f t="shared" si="162"/>
        <v>25</v>
      </c>
      <c r="S189" s="36">
        <f t="shared" si="162"/>
        <v>168</v>
      </c>
      <c r="T189" s="36">
        <f t="shared" si="162"/>
        <v>8760</v>
      </c>
      <c r="U189" s="36">
        <f t="shared" si="162"/>
        <v>8760</v>
      </c>
      <c r="V189" s="36">
        <f t="shared" si="162"/>
        <v>8760</v>
      </c>
      <c r="W189" s="36">
        <f t="shared" si="162"/>
        <v>8760</v>
      </c>
      <c r="X189" s="36">
        <f t="shared" si="162"/>
        <v>8760</v>
      </c>
      <c r="Y189" s="36">
        <f t="shared" si="162"/>
        <v>8760</v>
      </c>
      <c r="Z189" s="36">
        <f t="shared" si="162"/>
        <v>8760</v>
      </c>
      <c r="AA189" s="36">
        <f t="shared" si="162"/>
        <v>365</v>
      </c>
      <c r="AB189" s="29"/>
    </row>
    <row r="190" spans="1:28">
      <c r="A190" s="7" t="s">
        <v>308</v>
      </c>
      <c r="B190" s="34" t="s">
        <v>303</v>
      </c>
      <c r="C190" s="34" t="s">
        <v>381</v>
      </c>
      <c r="D190" s="34" t="str">
        <f t="shared" si="124"/>
        <v>K5min</v>
      </c>
      <c r="E190" s="39" t="s">
        <v>292</v>
      </c>
      <c r="F190" s="36">
        <v>0</v>
      </c>
      <c r="G190" s="36">
        <v>25.49</v>
      </c>
      <c r="H190" s="36">
        <v>138.72</v>
      </c>
      <c r="I190" s="36">
        <v>145.66</v>
      </c>
      <c r="J190" s="36">
        <v>173.43</v>
      </c>
      <c r="K190" s="36">
        <v>0</v>
      </c>
      <c r="L190" s="36">
        <v>0</v>
      </c>
      <c r="M190" s="36">
        <v>0</v>
      </c>
      <c r="N190" s="36">
        <v>5</v>
      </c>
      <c r="O190" s="36">
        <v>0.2</v>
      </c>
      <c r="P190" s="36">
        <v>0</v>
      </c>
      <c r="Q190" s="36">
        <v>6.78</v>
      </c>
      <c r="R190" s="36">
        <v>25</v>
      </c>
      <c r="S190" s="36">
        <v>43</v>
      </c>
      <c r="T190" s="36">
        <v>2336</v>
      </c>
      <c r="U190" s="36">
        <v>2336</v>
      </c>
      <c r="V190" s="36">
        <v>2336</v>
      </c>
      <c r="W190" s="36">
        <v>2336</v>
      </c>
      <c r="X190" s="36">
        <v>2336</v>
      </c>
      <c r="Y190" s="36">
        <v>2336</v>
      </c>
      <c r="Z190" s="36">
        <v>2336</v>
      </c>
      <c r="AA190" s="36">
        <v>292</v>
      </c>
      <c r="AB190" s="29"/>
    </row>
    <row r="191" spans="1:28">
      <c r="A191" s="7" t="s">
        <v>308</v>
      </c>
      <c r="B191" s="34" t="str">
        <f t="shared" ref="B191:F192" si="163">B190</f>
        <v>K5</v>
      </c>
      <c r="C191" s="34" t="s">
        <v>382</v>
      </c>
      <c r="D191" s="34" t="str">
        <f t="shared" si="124"/>
        <v>K5m</v>
      </c>
      <c r="E191" s="37" t="str">
        <f t="shared" si="163"/>
        <v>醫院大含掛號業務大廳</v>
      </c>
      <c r="F191" s="36">
        <f t="shared" si="163"/>
        <v>0</v>
      </c>
      <c r="G191" s="36">
        <v>31.97</v>
      </c>
      <c r="H191" s="36">
        <v>162.27000000000001</v>
      </c>
      <c r="I191" s="36">
        <v>170.81</v>
      </c>
      <c r="J191" s="36">
        <v>203.21</v>
      </c>
      <c r="K191" s="36">
        <v>0</v>
      </c>
      <c r="L191" s="36">
        <v>0</v>
      </c>
      <c r="M191" s="36">
        <v>0</v>
      </c>
      <c r="N191" s="36">
        <f t="shared" ref="N191:AA192" si="164">N190</f>
        <v>5</v>
      </c>
      <c r="O191" s="36">
        <f t="shared" si="164"/>
        <v>0.2</v>
      </c>
      <c r="P191" s="36">
        <f t="shared" si="164"/>
        <v>0</v>
      </c>
      <c r="Q191" s="36">
        <f t="shared" si="164"/>
        <v>6.78</v>
      </c>
      <c r="R191" s="36">
        <f t="shared" si="164"/>
        <v>25</v>
      </c>
      <c r="S191" s="36">
        <f t="shared" si="164"/>
        <v>43</v>
      </c>
      <c r="T191" s="36">
        <f t="shared" si="164"/>
        <v>2336</v>
      </c>
      <c r="U191" s="36">
        <f t="shared" si="164"/>
        <v>2336</v>
      </c>
      <c r="V191" s="36">
        <f t="shared" si="164"/>
        <v>2336</v>
      </c>
      <c r="W191" s="36">
        <f t="shared" si="164"/>
        <v>2336</v>
      </c>
      <c r="X191" s="36">
        <f t="shared" si="164"/>
        <v>2336</v>
      </c>
      <c r="Y191" s="36">
        <f t="shared" si="164"/>
        <v>2336</v>
      </c>
      <c r="Z191" s="36">
        <f t="shared" si="164"/>
        <v>2336</v>
      </c>
      <c r="AA191" s="36">
        <f t="shared" si="164"/>
        <v>292</v>
      </c>
      <c r="AB191" s="29"/>
    </row>
    <row r="192" spans="1:28">
      <c r="A192" s="7" t="s">
        <v>308</v>
      </c>
      <c r="B192" s="34" t="str">
        <f t="shared" si="163"/>
        <v>K5</v>
      </c>
      <c r="C192" s="34" t="s">
        <v>383</v>
      </c>
      <c r="D192" s="34" t="str">
        <f t="shared" si="124"/>
        <v>K5max</v>
      </c>
      <c r="E192" s="37" t="str">
        <f t="shared" si="163"/>
        <v>醫院大含掛號業務大廳</v>
      </c>
      <c r="F192" s="36">
        <f t="shared" si="163"/>
        <v>0</v>
      </c>
      <c r="G192" s="36">
        <v>38.46</v>
      </c>
      <c r="H192" s="36">
        <v>184.04</v>
      </c>
      <c r="I192" s="36">
        <v>194.24</v>
      </c>
      <c r="J192" s="36">
        <v>230.45</v>
      </c>
      <c r="K192" s="36">
        <v>0</v>
      </c>
      <c r="L192" s="36">
        <v>0</v>
      </c>
      <c r="M192" s="36">
        <v>0</v>
      </c>
      <c r="N192" s="36">
        <f t="shared" si="164"/>
        <v>5</v>
      </c>
      <c r="O192" s="36">
        <f t="shared" si="164"/>
        <v>0.2</v>
      </c>
      <c r="P192" s="36">
        <f t="shared" si="164"/>
        <v>0</v>
      </c>
      <c r="Q192" s="36">
        <f t="shared" si="164"/>
        <v>6.78</v>
      </c>
      <c r="R192" s="36">
        <f t="shared" si="164"/>
        <v>25</v>
      </c>
      <c r="S192" s="36">
        <f t="shared" si="164"/>
        <v>43</v>
      </c>
      <c r="T192" s="36">
        <f t="shared" si="164"/>
        <v>2336</v>
      </c>
      <c r="U192" s="36">
        <f t="shared" si="164"/>
        <v>2336</v>
      </c>
      <c r="V192" s="36">
        <f t="shared" si="164"/>
        <v>2336</v>
      </c>
      <c r="W192" s="36">
        <f t="shared" si="164"/>
        <v>2336</v>
      </c>
      <c r="X192" s="36">
        <f t="shared" si="164"/>
        <v>2336</v>
      </c>
      <c r="Y192" s="36">
        <f t="shared" si="164"/>
        <v>2336</v>
      </c>
      <c r="Z192" s="36">
        <f t="shared" si="164"/>
        <v>2336</v>
      </c>
      <c r="AA192" s="36">
        <f t="shared" si="164"/>
        <v>292</v>
      </c>
      <c r="AB192" s="29"/>
    </row>
    <row r="193" spans="1:28">
      <c r="A193" s="7" t="s">
        <v>308</v>
      </c>
      <c r="B193" s="34" t="s">
        <v>304</v>
      </c>
      <c r="C193" s="34" t="s">
        <v>381</v>
      </c>
      <c r="D193" s="34" t="str">
        <f t="shared" si="124"/>
        <v>K6min</v>
      </c>
      <c r="E193" s="39" t="s">
        <v>288</v>
      </c>
      <c r="F193" s="36">
        <v>36.74</v>
      </c>
      <c r="G193" s="36">
        <v>22.83</v>
      </c>
      <c r="H193" s="36">
        <v>39.18</v>
      </c>
      <c r="I193" s="36">
        <v>41.78</v>
      </c>
      <c r="J193" s="36">
        <v>47.63</v>
      </c>
      <c r="K193" s="36">
        <v>0</v>
      </c>
      <c r="L193" s="36">
        <v>0</v>
      </c>
      <c r="M193" s="36">
        <v>0</v>
      </c>
      <c r="N193" s="36">
        <v>9</v>
      </c>
      <c r="O193" s="36">
        <v>0.05</v>
      </c>
      <c r="P193" s="36">
        <v>11</v>
      </c>
      <c r="Q193" s="36">
        <v>0.85</v>
      </c>
      <c r="R193" s="36">
        <v>25</v>
      </c>
      <c r="S193" s="36">
        <v>56</v>
      </c>
      <c r="T193" s="36">
        <v>2920</v>
      </c>
      <c r="U193" s="36">
        <v>2920</v>
      </c>
      <c r="V193" s="36">
        <v>2920</v>
      </c>
      <c r="W193" s="36">
        <v>2920</v>
      </c>
      <c r="X193" s="36">
        <v>2920</v>
      </c>
      <c r="Y193" s="36">
        <v>2920</v>
      </c>
      <c r="Z193" s="36">
        <v>2920</v>
      </c>
      <c r="AA193" s="36">
        <v>365</v>
      </c>
      <c r="AB193" s="29"/>
    </row>
    <row r="194" spans="1:28">
      <c r="A194" s="7" t="s">
        <v>308</v>
      </c>
      <c r="B194" s="34" t="str">
        <f t="shared" ref="B194:F195" si="165">B193</f>
        <v>K6</v>
      </c>
      <c r="C194" s="34" t="s">
        <v>382</v>
      </c>
      <c r="D194" s="34" t="str">
        <f t="shared" si="124"/>
        <v>K6m</v>
      </c>
      <c r="E194" s="37" t="str">
        <f t="shared" si="165"/>
        <v>醫院一般行政辮公區與設施維館管理區域</v>
      </c>
      <c r="F194" s="36">
        <f t="shared" si="165"/>
        <v>36.74</v>
      </c>
      <c r="G194" s="36">
        <v>28.48</v>
      </c>
      <c r="H194" s="36">
        <v>47.05</v>
      </c>
      <c r="I194" s="36">
        <v>50.27</v>
      </c>
      <c r="J194" s="36">
        <v>57.13</v>
      </c>
      <c r="K194" s="36">
        <v>0</v>
      </c>
      <c r="L194" s="36">
        <v>0</v>
      </c>
      <c r="M194" s="36">
        <v>0</v>
      </c>
      <c r="N194" s="36">
        <f t="shared" ref="N194:AA195" si="166">N193</f>
        <v>9</v>
      </c>
      <c r="O194" s="36">
        <f t="shared" si="166"/>
        <v>0.05</v>
      </c>
      <c r="P194" s="36">
        <f t="shared" si="166"/>
        <v>11</v>
      </c>
      <c r="Q194" s="36">
        <f t="shared" si="166"/>
        <v>0.85</v>
      </c>
      <c r="R194" s="36">
        <f t="shared" si="166"/>
        <v>25</v>
      </c>
      <c r="S194" s="36">
        <f t="shared" si="166"/>
        <v>56</v>
      </c>
      <c r="T194" s="36">
        <f t="shared" si="166"/>
        <v>2920</v>
      </c>
      <c r="U194" s="36">
        <f t="shared" si="166"/>
        <v>2920</v>
      </c>
      <c r="V194" s="36">
        <f t="shared" si="166"/>
        <v>2920</v>
      </c>
      <c r="W194" s="36">
        <f t="shared" si="166"/>
        <v>2920</v>
      </c>
      <c r="X194" s="36">
        <f t="shared" si="166"/>
        <v>2920</v>
      </c>
      <c r="Y194" s="36">
        <f t="shared" si="166"/>
        <v>2920</v>
      </c>
      <c r="Z194" s="36">
        <f t="shared" si="166"/>
        <v>2920</v>
      </c>
      <c r="AA194" s="36">
        <f t="shared" si="166"/>
        <v>365</v>
      </c>
      <c r="AB194" s="29"/>
    </row>
    <row r="195" spans="1:28">
      <c r="A195" s="7" t="s">
        <v>308</v>
      </c>
      <c r="B195" s="34" t="str">
        <f t="shared" si="165"/>
        <v>K6</v>
      </c>
      <c r="C195" s="34" t="s">
        <v>383</v>
      </c>
      <c r="D195" s="34" t="str">
        <f t="shared" si="124"/>
        <v>K6max</v>
      </c>
      <c r="E195" s="37" t="str">
        <f t="shared" si="165"/>
        <v>醫院一般行政辮公區與設施維館管理區域</v>
      </c>
      <c r="F195" s="36">
        <f t="shared" si="165"/>
        <v>36.74</v>
      </c>
      <c r="G195" s="36">
        <v>34.130000000000003</v>
      </c>
      <c r="H195" s="36">
        <v>54.83</v>
      </c>
      <c r="I195" s="36">
        <v>58.69</v>
      </c>
      <c r="J195" s="36">
        <v>66.42</v>
      </c>
      <c r="K195" s="36">
        <v>0</v>
      </c>
      <c r="L195" s="36">
        <v>0</v>
      </c>
      <c r="M195" s="36">
        <v>0</v>
      </c>
      <c r="N195" s="36">
        <f t="shared" si="166"/>
        <v>9</v>
      </c>
      <c r="O195" s="36">
        <f t="shared" si="166"/>
        <v>0.05</v>
      </c>
      <c r="P195" s="36">
        <f t="shared" si="166"/>
        <v>11</v>
      </c>
      <c r="Q195" s="36">
        <f t="shared" si="166"/>
        <v>0.85</v>
      </c>
      <c r="R195" s="36">
        <f t="shared" si="166"/>
        <v>25</v>
      </c>
      <c r="S195" s="36">
        <f t="shared" si="166"/>
        <v>56</v>
      </c>
      <c r="T195" s="36">
        <f t="shared" si="166"/>
        <v>2920</v>
      </c>
      <c r="U195" s="36">
        <f t="shared" si="166"/>
        <v>2920</v>
      </c>
      <c r="V195" s="36">
        <f t="shared" si="166"/>
        <v>2920</v>
      </c>
      <c r="W195" s="36">
        <f t="shared" si="166"/>
        <v>2920</v>
      </c>
      <c r="X195" s="36">
        <f t="shared" si="166"/>
        <v>2920</v>
      </c>
      <c r="Y195" s="36">
        <f t="shared" si="166"/>
        <v>2920</v>
      </c>
      <c r="Z195" s="36">
        <f t="shared" si="166"/>
        <v>2920</v>
      </c>
      <c r="AA195" s="36">
        <f t="shared" si="166"/>
        <v>365</v>
      </c>
      <c r="AB195" s="29"/>
    </row>
    <row r="196" spans="1:28">
      <c r="A196" s="7" t="s">
        <v>308</v>
      </c>
      <c r="B196" s="34" t="s">
        <v>305</v>
      </c>
      <c r="C196" s="34" t="s">
        <v>381</v>
      </c>
      <c r="D196" s="34" t="str">
        <f t="shared" si="124"/>
        <v>K7min</v>
      </c>
      <c r="E196" s="39" t="s">
        <v>289</v>
      </c>
      <c r="F196" s="36">
        <v>1088.1600000000001</v>
      </c>
      <c r="G196" s="36">
        <v>64.77</v>
      </c>
      <c r="H196" s="36">
        <v>521.01</v>
      </c>
      <c r="I196" s="36">
        <v>518.61</v>
      </c>
      <c r="J196" s="36">
        <v>533.09</v>
      </c>
      <c r="K196" s="36">
        <v>0</v>
      </c>
      <c r="L196" s="36">
        <v>0</v>
      </c>
      <c r="M196" s="36">
        <v>0</v>
      </c>
      <c r="N196" s="36">
        <v>13</v>
      </c>
      <c r="O196" s="36">
        <v>0.1</v>
      </c>
      <c r="P196" s="36">
        <v>270</v>
      </c>
      <c r="Q196" s="36">
        <v>4.5199999999999996</v>
      </c>
      <c r="R196" s="36">
        <v>25</v>
      </c>
      <c r="S196" s="36">
        <v>43</v>
      </c>
      <c r="T196" s="36">
        <v>2336</v>
      </c>
      <c r="U196" s="36">
        <v>2336</v>
      </c>
      <c r="V196" s="36">
        <v>2336</v>
      </c>
      <c r="W196" s="36">
        <v>2336</v>
      </c>
      <c r="X196" s="36">
        <v>2336</v>
      </c>
      <c r="Y196" s="36">
        <v>2336</v>
      </c>
      <c r="Z196" s="36">
        <v>2336</v>
      </c>
      <c r="AA196" s="36">
        <v>292</v>
      </c>
      <c r="AB196" s="29"/>
    </row>
    <row r="197" spans="1:28">
      <c r="A197" s="7" t="s">
        <v>308</v>
      </c>
      <c r="B197" s="34" t="str">
        <f t="shared" ref="B197:F198" si="167">B196</f>
        <v>K7</v>
      </c>
      <c r="C197" s="34" t="s">
        <v>382</v>
      </c>
      <c r="D197" s="34" t="str">
        <f t="shared" ref="D197:D260" si="168">B197&amp;C197</f>
        <v>K7m</v>
      </c>
      <c r="E197" s="37" t="str">
        <f t="shared" si="167"/>
        <v>腫瘤放射重設備</v>
      </c>
      <c r="F197" s="36">
        <f t="shared" si="167"/>
        <v>1088.1600000000001</v>
      </c>
      <c r="G197" s="36">
        <v>81.17</v>
      </c>
      <c r="H197" s="36">
        <v>592.48</v>
      </c>
      <c r="I197" s="36">
        <v>590.23</v>
      </c>
      <c r="J197" s="36">
        <v>606.67999999999995</v>
      </c>
      <c r="K197" s="36">
        <v>0</v>
      </c>
      <c r="L197" s="36">
        <v>0</v>
      </c>
      <c r="M197" s="36">
        <v>0</v>
      </c>
      <c r="N197" s="36">
        <f t="shared" ref="N197:AA198" si="169">N196</f>
        <v>13</v>
      </c>
      <c r="O197" s="36">
        <f t="shared" si="169"/>
        <v>0.1</v>
      </c>
      <c r="P197" s="36">
        <f t="shared" si="169"/>
        <v>270</v>
      </c>
      <c r="Q197" s="36">
        <f t="shared" si="169"/>
        <v>4.5199999999999996</v>
      </c>
      <c r="R197" s="36">
        <f t="shared" si="169"/>
        <v>25</v>
      </c>
      <c r="S197" s="36">
        <f t="shared" si="169"/>
        <v>43</v>
      </c>
      <c r="T197" s="36">
        <f t="shared" si="169"/>
        <v>2336</v>
      </c>
      <c r="U197" s="36">
        <f t="shared" si="169"/>
        <v>2336</v>
      </c>
      <c r="V197" s="36">
        <f t="shared" si="169"/>
        <v>2336</v>
      </c>
      <c r="W197" s="36">
        <f t="shared" si="169"/>
        <v>2336</v>
      </c>
      <c r="X197" s="36">
        <f t="shared" si="169"/>
        <v>2336</v>
      </c>
      <c r="Y197" s="36">
        <f t="shared" si="169"/>
        <v>2336</v>
      </c>
      <c r="Z197" s="36">
        <f t="shared" si="169"/>
        <v>2336</v>
      </c>
      <c r="AA197" s="36">
        <f t="shared" si="169"/>
        <v>292</v>
      </c>
      <c r="AB197" s="29"/>
    </row>
    <row r="198" spans="1:28">
      <c r="A198" s="7" t="s">
        <v>308</v>
      </c>
      <c r="B198" s="34" t="str">
        <f t="shared" si="167"/>
        <v>K7</v>
      </c>
      <c r="C198" s="34" t="s">
        <v>383</v>
      </c>
      <c r="D198" s="34" t="str">
        <f t="shared" si="168"/>
        <v>K7max</v>
      </c>
      <c r="E198" s="37" t="str">
        <f t="shared" si="167"/>
        <v>腫瘤放射重設備</v>
      </c>
      <c r="F198" s="36">
        <f t="shared" si="167"/>
        <v>1088.1600000000001</v>
      </c>
      <c r="G198" s="36">
        <v>97.15</v>
      </c>
      <c r="H198" s="36">
        <v>646.66999999999996</v>
      </c>
      <c r="I198" s="36">
        <v>644.42999999999995</v>
      </c>
      <c r="J198" s="36">
        <v>662.63</v>
      </c>
      <c r="K198" s="36">
        <v>0</v>
      </c>
      <c r="L198" s="36">
        <v>0</v>
      </c>
      <c r="M198" s="36">
        <v>0</v>
      </c>
      <c r="N198" s="36">
        <f t="shared" si="169"/>
        <v>13</v>
      </c>
      <c r="O198" s="36">
        <f t="shared" si="169"/>
        <v>0.1</v>
      </c>
      <c r="P198" s="36">
        <f t="shared" si="169"/>
        <v>270</v>
      </c>
      <c r="Q198" s="36">
        <f t="shared" si="169"/>
        <v>4.5199999999999996</v>
      </c>
      <c r="R198" s="36">
        <f t="shared" si="169"/>
        <v>25</v>
      </c>
      <c r="S198" s="36">
        <f t="shared" si="169"/>
        <v>43</v>
      </c>
      <c r="T198" s="36">
        <f t="shared" si="169"/>
        <v>2336</v>
      </c>
      <c r="U198" s="36">
        <f t="shared" si="169"/>
        <v>2336</v>
      </c>
      <c r="V198" s="36">
        <f t="shared" si="169"/>
        <v>2336</v>
      </c>
      <c r="W198" s="36">
        <f t="shared" si="169"/>
        <v>2336</v>
      </c>
      <c r="X198" s="36">
        <f t="shared" si="169"/>
        <v>2336</v>
      </c>
      <c r="Y198" s="36">
        <f t="shared" si="169"/>
        <v>2336</v>
      </c>
      <c r="Z198" s="36">
        <f t="shared" si="169"/>
        <v>2336</v>
      </c>
      <c r="AA198" s="36">
        <f t="shared" si="169"/>
        <v>292</v>
      </c>
      <c r="AB198" s="29"/>
    </row>
    <row r="199" spans="1:28">
      <c r="A199" s="7" t="s">
        <v>308</v>
      </c>
      <c r="B199" s="34" t="s">
        <v>306</v>
      </c>
      <c r="C199" s="34" t="s">
        <v>381</v>
      </c>
      <c r="D199" s="34" t="str">
        <f t="shared" si="168"/>
        <v>K8min</v>
      </c>
      <c r="E199" s="37" t="s">
        <v>290</v>
      </c>
      <c r="F199" s="36">
        <v>10.029999999999999</v>
      </c>
      <c r="G199" s="36">
        <v>15.92</v>
      </c>
      <c r="H199" s="36">
        <v>43.49</v>
      </c>
      <c r="I199" s="36">
        <v>48.22</v>
      </c>
      <c r="J199" s="36">
        <v>54.65</v>
      </c>
      <c r="K199" s="36">
        <v>29.57</v>
      </c>
      <c r="L199" s="36">
        <v>35.94</v>
      </c>
      <c r="M199" s="36">
        <v>40.299999999999997</v>
      </c>
      <c r="N199" s="36">
        <v>5</v>
      </c>
      <c r="O199" s="36">
        <v>0.05</v>
      </c>
      <c r="P199" s="36">
        <v>3.5</v>
      </c>
      <c r="Q199" s="36">
        <v>2.1800000000000002</v>
      </c>
      <c r="R199" s="36">
        <v>10</v>
      </c>
      <c r="S199" s="36">
        <v>168</v>
      </c>
      <c r="T199" s="36">
        <v>8760</v>
      </c>
      <c r="U199" s="36">
        <v>8760</v>
      </c>
      <c r="V199" s="36">
        <v>8760</v>
      </c>
      <c r="W199" s="36">
        <v>8760</v>
      </c>
      <c r="X199" s="36">
        <v>8760</v>
      </c>
      <c r="Y199" s="36">
        <v>8760</v>
      </c>
      <c r="Z199" s="36">
        <v>8760</v>
      </c>
      <c r="AA199" s="36">
        <v>365</v>
      </c>
      <c r="AB199" s="29"/>
    </row>
    <row r="200" spans="1:28">
      <c r="A200" s="7" t="s">
        <v>308</v>
      </c>
      <c r="B200" s="34" t="str">
        <f t="shared" ref="B200:F201" si="170">B199</f>
        <v>K8</v>
      </c>
      <c r="C200" s="34" t="s">
        <v>382</v>
      </c>
      <c r="D200" s="34" t="str">
        <f t="shared" si="168"/>
        <v>K8m</v>
      </c>
      <c r="E200" s="35" t="str">
        <f t="shared" si="170"/>
        <v>護理或長照機構 (F-1)</v>
      </c>
      <c r="F200" s="36">
        <f t="shared" si="170"/>
        <v>10.029999999999999</v>
      </c>
      <c r="G200" s="36">
        <v>21.11</v>
      </c>
      <c r="H200" s="36">
        <v>53.66</v>
      </c>
      <c r="I200" s="36">
        <v>59.7</v>
      </c>
      <c r="J200" s="36">
        <v>68.040000000000006</v>
      </c>
      <c r="K200" s="36">
        <v>36.99</v>
      </c>
      <c r="L200" s="36">
        <v>44.9</v>
      </c>
      <c r="M200" s="36">
        <v>50.43</v>
      </c>
      <c r="N200" s="36">
        <f t="shared" ref="N200:AA201" si="171">N199</f>
        <v>5</v>
      </c>
      <c r="O200" s="36">
        <f t="shared" si="171"/>
        <v>0.05</v>
      </c>
      <c r="P200" s="36">
        <f t="shared" si="171"/>
        <v>3.5</v>
      </c>
      <c r="Q200" s="36">
        <f t="shared" si="171"/>
        <v>2.1800000000000002</v>
      </c>
      <c r="R200" s="36">
        <f t="shared" si="171"/>
        <v>10</v>
      </c>
      <c r="S200" s="36">
        <f t="shared" si="171"/>
        <v>168</v>
      </c>
      <c r="T200" s="36">
        <f t="shared" si="171"/>
        <v>8760</v>
      </c>
      <c r="U200" s="36">
        <f t="shared" si="171"/>
        <v>8760</v>
      </c>
      <c r="V200" s="36">
        <f t="shared" si="171"/>
        <v>8760</v>
      </c>
      <c r="W200" s="36">
        <f t="shared" si="171"/>
        <v>8760</v>
      </c>
      <c r="X200" s="36">
        <f t="shared" si="171"/>
        <v>8760</v>
      </c>
      <c r="Y200" s="36">
        <f t="shared" si="171"/>
        <v>8760</v>
      </c>
      <c r="Z200" s="36">
        <f t="shared" si="171"/>
        <v>8760</v>
      </c>
      <c r="AA200" s="36">
        <f t="shared" si="171"/>
        <v>365</v>
      </c>
      <c r="AB200" s="29"/>
    </row>
    <row r="201" spans="1:28">
      <c r="A201" s="7" t="s">
        <v>308</v>
      </c>
      <c r="B201" s="34" t="str">
        <f t="shared" si="170"/>
        <v>K8</v>
      </c>
      <c r="C201" s="34" t="s">
        <v>383</v>
      </c>
      <c r="D201" s="34" t="str">
        <f t="shared" si="168"/>
        <v>K8max</v>
      </c>
      <c r="E201" s="35" t="str">
        <f t="shared" si="170"/>
        <v>護理或長照機構 (F-1)</v>
      </c>
      <c r="F201" s="36">
        <f t="shared" si="170"/>
        <v>10.029999999999999</v>
      </c>
      <c r="G201" s="36">
        <v>39.86</v>
      </c>
      <c r="H201" s="36">
        <v>75.569999999999993</v>
      </c>
      <c r="I201" s="36">
        <v>84.93</v>
      </c>
      <c r="J201" s="36">
        <v>96.91</v>
      </c>
      <c r="K201" s="36">
        <v>52.89</v>
      </c>
      <c r="L201" s="36">
        <v>64.16</v>
      </c>
      <c r="M201" s="36">
        <v>71.8</v>
      </c>
      <c r="N201" s="36">
        <f t="shared" si="171"/>
        <v>5</v>
      </c>
      <c r="O201" s="36">
        <f t="shared" si="171"/>
        <v>0.05</v>
      </c>
      <c r="P201" s="36">
        <f t="shared" si="171"/>
        <v>3.5</v>
      </c>
      <c r="Q201" s="36">
        <f t="shared" si="171"/>
        <v>2.1800000000000002</v>
      </c>
      <c r="R201" s="36">
        <f t="shared" si="171"/>
        <v>10</v>
      </c>
      <c r="S201" s="36">
        <f t="shared" si="171"/>
        <v>168</v>
      </c>
      <c r="T201" s="36">
        <f t="shared" si="171"/>
        <v>8760</v>
      </c>
      <c r="U201" s="36">
        <f t="shared" si="171"/>
        <v>8760</v>
      </c>
      <c r="V201" s="36">
        <f t="shared" si="171"/>
        <v>8760</v>
      </c>
      <c r="W201" s="36">
        <f t="shared" si="171"/>
        <v>8760</v>
      </c>
      <c r="X201" s="36">
        <f t="shared" si="171"/>
        <v>8760</v>
      </c>
      <c r="Y201" s="36">
        <f t="shared" si="171"/>
        <v>8760</v>
      </c>
      <c r="Z201" s="36">
        <f t="shared" si="171"/>
        <v>8760</v>
      </c>
      <c r="AA201" s="36">
        <f t="shared" si="171"/>
        <v>365</v>
      </c>
      <c r="AB201" s="29"/>
    </row>
    <row r="202" spans="1:28">
      <c r="A202" s="7" t="s">
        <v>308</v>
      </c>
      <c r="B202" s="34" t="s">
        <v>307</v>
      </c>
      <c r="C202" s="34" t="s">
        <v>381</v>
      </c>
      <c r="D202" s="34" t="str">
        <f t="shared" si="168"/>
        <v>K9min</v>
      </c>
      <c r="E202" s="35" t="s">
        <v>291</v>
      </c>
      <c r="F202" s="36">
        <v>16.760000000000002</v>
      </c>
      <c r="G202" s="36">
        <v>19.91</v>
      </c>
      <c r="H202" s="36">
        <v>29.23</v>
      </c>
      <c r="I202" s="36">
        <v>33.869999999999997</v>
      </c>
      <c r="J202" s="36">
        <v>39.5</v>
      </c>
      <c r="K202" s="36">
        <v>20.92</v>
      </c>
      <c r="L202" s="36">
        <v>25.74</v>
      </c>
      <c r="M202" s="36">
        <v>28.86</v>
      </c>
      <c r="N202" s="36">
        <v>12</v>
      </c>
      <c r="O202" s="36">
        <v>0.1</v>
      </c>
      <c r="P202" s="36">
        <v>9.5</v>
      </c>
      <c r="Q202" s="36">
        <v>0.89</v>
      </c>
      <c r="R202" s="36">
        <v>10</v>
      </c>
      <c r="S202" s="36">
        <v>40</v>
      </c>
      <c r="T202" s="36">
        <v>2080</v>
      </c>
      <c r="U202" s="36">
        <v>2080</v>
      </c>
      <c r="V202" s="36">
        <v>2080</v>
      </c>
      <c r="W202" s="36">
        <v>2080</v>
      </c>
      <c r="X202" s="36">
        <v>2080</v>
      </c>
      <c r="Y202" s="36">
        <v>2080</v>
      </c>
      <c r="Z202" s="36">
        <v>2080</v>
      </c>
      <c r="AA202" s="36">
        <v>260</v>
      </c>
      <c r="AB202" s="29"/>
    </row>
    <row r="203" spans="1:28">
      <c r="A203" s="7" t="s">
        <v>308</v>
      </c>
      <c r="B203" s="34" t="str">
        <f t="shared" ref="B203:F204" si="172">B202</f>
        <v>K9</v>
      </c>
      <c r="C203" s="34" t="s">
        <v>382</v>
      </c>
      <c r="D203" s="34" t="str">
        <f t="shared" si="168"/>
        <v>K9m</v>
      </c>
      <c r="E203" s="35" t="str">
        <f t="shared" si="172"/>
        <v>日照機構、幼兒(F-1)</v>
      </c>
      <c r="F203" s="36">
        <f t="shared" si="172"/>
        <v>16.760000000000002</v>
      </c>
      <c r="G203" s="36">
        <v>26.51</v>
      </c>
      <c r="H203" s="36">
        <v>36.57</v>
      </c>
      <c r="I203" s="36">
        <v>42.5</v>
      </c>
      <c r="J203" s="36">
        <v>49.44</v>
      </c>
      <c r="K203" s="36">
        <v>26.08</v>
      </c>
      <c r="L203" s="36">
        <v>32.15</v>
      </c>
      <c r="M203" s="36">
        <v>35.869999999999997</v>
      </c>
      <c r="N203" s="36">
        <f t="shared" ref="N203:AA204" si="173">N202</f>
        <v>12</v>
      </c>
      <c r="O203" s="36">
        <f t="shared" si="173"/>
        <v>0.1</v>
      </c>
      <c r="P203" s="36">
        <f t="shared" si="173"/>
        <v>9.5</v>
      </c>
      <c r="Q203" s="36">
        <f t="shared" si="173"/>
        <v>0.89</v>
      </c>
      <c r="R203" s="36">
        <f t="shared" si="173"/>
        <v>10</v>
      </c>
      <c r="S203" s="36">
        <f t="shared" si="173"/>
        <v>40</v>
      </c>
      <c r="T203" s="36">
        <f t="shared" si="173"/>
        <v>2080</v>
      </c>
      <c r="U203" s="36">
        <f t="shared" si="173"/>
        <v>2080</v>
      </c>
      <c r="V203" s="36">
        <f t="shared" si="173"/>
        <v>2080</v>
      </c>
      <c r="W203" s="36">
        <f t="shared" si="173"/>
        <v>2080</v>
      </c>
      <c r="X203" s="36">
        <f t="shared" si="173"/>
        <v>2080</v>
      </c>
      <c r="Y203" s="36">
        <f t="shared" si="173"/>
        <v>2080</v>
      </c>
      <c r="Z203" s="36">
        <f t="shared" si="173"/>
        <v>2080</v>
      </c>
      <c r="AA203" s="36">
        <f t="shared" si="173"/>
        <v>260</v>
      </c>
      <c r="AB203" s="29"/>
    </row>
    <row r="204" spans="1:28">
      <c r="A204" s="7" t="s">
        <v>308</v>
      </c>
      <c r="B204" s="34" t="str">
        <f t="shared" si="172"/>
        <v>K9</v>
      </c>
      <c r="C204" s="34" t="s">
        <v>383</v>
      </c>
      <c r="D204" s="34" t="str">
        <f t="shared" si="168"/>
        <v>K9max</v>
      </c>
      <c r="E204" s="35" t="str">
        <f t="shared" si="172"/>
        <v>日照機構、幼兒(F-1)</v>
      </c>
      <c r="F204" s="36">
        <f t="shared" si="172"/>
        <v>16.760000000000002</v>
      </c>
      <c r="G204" s="36">
        <v>49.54</v>
      </c>
      <c r="H204" s="36">
        <v>53.17</v>
      </c>
      <c r="I204" s="36">
        <v>61.07</v>
      </c>
      <c r="J204" s="36">
        <v>69.56</v>
      </c>
      <c r="K204" s="36">
        <v>35.9</v>
      </c>
      <c r="L204" s="36">
        <v>44.25</v>
      </c>
      <c r="M204" s="36">
        <v>48.56</v>
      </c>
      <c r="N204" s="36">
        <f t="shared" si="173"/>
        <v>12</v>
      </c>
      <c r="O204" s="36">
        <f t="shared" si="173"/>
        <v>0.1</v>
      </c>
      <c r="P204" s="36">
        <f t="shared" si="173"/>
        <v>9.5</v>
      </c>
      <c r="Q204" s="36">
        <f t="shared" si="173"/>
        <v>0.89</v>
      </c>
      <c r="R204" s="36">
        <f t="shared" si="173"/>
        <v>10</v>
      </c>
      <c r="S204" s="36">
        <f t="shared" si="173"/>
        <v>40</v>
      </c>
      <c r="T204" s="36">
        <f t="shared" si="173"/>
        <v>2080</v>
      </c>
      <c r="U204" s="36">
        <f t="shared" si="173"/>
        <v>2080</v>
      </c>
      <c r="V204" s="36">
        <f t="shared" si="173"/>
        <v>2080</v>
      </c>
      <c r="W204" s="36">
        <f t="shared" si="173"/>
        <v>2080</v>
      </c>
      <c r="X204" s="36">
        <f t="shared" si="173"/>
        <v>2080</v>
      </c>
      <c r="Y204" s="36">
        <f t="shared" si="173"/>
        <v>2080</v>
      </c>
      <c r="Z204" s="36">
        <f t="shared" si="173"/>
        <v>2080</v>
      </c>
      <c r="AA204" s="36">
        <f t="shared" si="173"/>
        <v>260</v>
      </c>
      <c r="AB204" s="29"/>
    </row>
    <row r="205" spans="1:28">
      <c r="A205" s="7" t="s">
        <v>309</v>
      </c>
      <c r="B205" s="34" t="s">
        <v>310</v>
      </c>
      <c r="C205" s="34" t="s">
        <v>381</v>
      </c>
      <c r="D205" s="34" t="str">
        <f t="shared" si="168"/>
        <v>L1min</v>
      </c>
      <c r="E205" s="35" t="s">
        <v>342</v>
      </c>
      <c r="F205" s="36">
        <v>13.47</v>
      </c>
      <c r="G205" s="36">
        <v>20.309999999999999</v>
      </c>
      <c r="H205" s="36">
        <v>43.93</v>
      </c>
      <c r="I205" s="36">
        <v>47.14</v>
      </c>
      <c r="J205" s="36">
        <v>49.96</v>
      </c>
      <c r="K205" s="36">
        <v>0</v>
      </c>
      <c r="L205" s="36">
        <v>0</v>
      </c>
      <c r="M205" s="36">
        <v>0</v>
      </c>
      <c r="N205" s="36">
        <v>10</v>
      </c>
      <c r="O205" s="36">
        <v>0.1</v>
      </c>
      <c r="P205" s="36">
        <v>10</v>
      </c>
      <c r="Q205" s="36">
        <v>1.47</v>
      </c>
      <c r="R205" s="36">
        <v>10</v>
      </c>
      <c r="S205" s="36">
        <v>112</v>
      </c>
      <c r="T205" s="36">
        <v>5808</v>
      </c>
      <c r="U205" s="36">
        <v>5808</v>
      </c>
      <c r="V205" s="36">
        <v>5808</v>
      </c>
      <c r="W205" s="36">
        <v>5808</v>
      </c>
      <c r="X205" s="36">
        <v>5808</v>
      </c>
      <c r="Y205" s="36">
        <v>5808</v>
      </c>
      <c r="Z205" s="36">
        <v>5808</v>
      </c>
      <c r="AA205" s="36">
        <v>363</v>
      </c>
      <c r="AB205" s="29"/>
    </row>
    <row r="206" spans="1:28">
      <c r="A206" s="7" t="s">
        <v>309</v>
      </c>
      <c r="B206" s="34" t="s">
        <v>310</v>
      </c>
      <c r="C206" s="34" t="s">
        <v>382</v>
      </c>
      <c r="D206" s="34" t="str">
        <f t="shared" si="168"/>
        <v>L1m</v>
      </c>
      <c r="E206" s="35" t="str">
        <f t="shared" ref="E206:E207" si="174">E205</f>
        <v>行政、辦公、設施維護管理區(使用率100%)</v>
      </c>
      <c r="F206" s="36">
        <f t="shared" ref="F206:F207" si="175">F205</f>
        <v>13.47</v>
      </c>
      <c r="G206" s="36">
        <v>40.57</v>
      </c>
      <c r="H206" s="36">
        <v>58.37</v>
      </c>
      <c r="I206" s="36">
        <v>62.33</v>
      </c>
      <c r="J206" s="36">
        <v>66.22</v>
      </c>
      <c r="K206" s="36">
        <v>0</v>
      </c>
      <c r="L206" s="36">
        <v>0</v>
      </c>
      <c r="M206" s="36">
        <v>0</v>
      </c>
      <c r="N206" s="36">
        <f t="shared" ref="N206:AA207" si="176">N205</f>
        <v>10</v>
      </c>
      <c r="O206" s="36">
        <f t="shared" si="176"/>
        <v>0.1</v>
      </c>
      <c r="P206" s="36">
        <f t="shared" si="176"/>
        <v>10</v>
      </c>
      <c r="Q206" s="36">
        <f t="shared" si="176"/>
        <v>1.47</v>
      </c>
      <c r="R206" s="36">
        <f t="shared" si="176"/>
        <v>10</v>
      </c>
      <c r="S206" s="36">
        <f t="shared" si="176"/>
        <v>112</v>
      </c>
      <c r="T206" s="36">
        <f t="shared" si="176"/>
        <v>5808</v>
      </c>
      <c r="U206" s="36">
        <f t="shared" si="176"/>
        <v>5808</v>
      </c>
      <c r="V206" s="36">
        <f t="shared" si="176"/>
        <v>5808</v>
      </c>
      <c r="W206" s="36">
        <f t="shared" si="176"/>
        <v>5808</v>
      </c>
      <c r="X206" s="36">
        <f t="shared" si="176"/>
        <v>5808</v>
      </c>
      <c r="Y206" s="36">
        <f t="shared" si="176"/>
        <v>5808</v>
      </c>
      <c r="Z206" s="36">
        <f t="shared" si="176"/>
        <v>5808</v>
      </c>
      <c r="AA206" s="36">
        <f t="shared" si="176"/>
        <v>363</v>
      </c>
      <c r="AB206" s="29"/>
    </row>
    <row r="207" spans="1:28">
      <c r="A207" s="7" t="s">
        <v>309</v>
      </c>
      <c r="B207" s="34" t="s">
        <v>310</v>
      </c>
      <c r="C207" s="34" t="s">
        <v>383</v>
      </c>
      <c r="D207" s="34" t="str">
        <f t="shared" si="168"/>
        <v>L1max</v>
      </c>
      <c r="E207" s="35" t="str">
        <f t="shared" si="174"/>
        <v>行政、辦公、設施維護管理區(使用率100%)</v>
      </c>
      <c r="F207" s="36">
        <f t="shared" si="175"/>
        <v>13.47</v>
      </c>
      <c r="G207" s="36">
        <v>67.66</v>
      </c>
      <c r="H207" s="36">
        <v>79.78</v>
      </c>
      <c r="I207" s="36">
        <v>84.44</v>
      </c>
      <c r="J207" s="36">
        <v>89.27</v>
      </c>
      <c r="K207" s="36">
        <v>0</v>
      </c>
      <c r="L207" s="36">
        <v>0</v>
      </c>
      <c r="M207" s="36">
        <v>0</v>
      </c>
      <c r="N207" s="36">
        <f t="shared" si="176"/>
        <v>10</v>
      </c>
      <c r="O207" s="36">
        <f t="shared" si="176"/>
        <v>0.1</v>
      </c>
      <c r="P207" s="36">
        <f t="shared" si="176"/>
        <v>10</v>
      </c>
      <c r="Q207" s="36">
        <f t="shared" si="176"/>
        <v>1.47</v>
      </c>
      <c r="R207" s="36">
        <f t="shared" si="176"/>
        <v>10</v>
      </c>
      <c r="S207" s="36">
        <f t="shared" si="176"/>
        <v>112</v>
      </c>
      <c r="T207" s="36">
        <f t="shared" si="176"/>
        <v>5808</v>
      </c>
      <c r="U207" s="36">
        <f t="shared" si="176"/>
        <v>5808</v>
      </c>
      <c r="V207" s="36">
        <f t="shared" si="176"/>
        <v>5808</v>
      </c>
      <c r="W207" s="36">
        <f t="shared" si="176"/>
        <v>5808</v>
      </c>
      <c r="X207" s="36">
        <f t="shared" si="176"/>
        <v>5808</v>
      </c>
      <c r="Y207" s="36">
        <f t="shared" si="176"/>
        <v>5808</v>
      </c>
      <c r="Z207" s="36">
        <f t="shared" si="176"/>
        <v>5808</v>
      </c>
      <c r="AA207" s="36">
        <f t="shared" si="176"/>
        <v>363</v>
      </c>
      <c r="AB207" s="29"/>
    </row>
    <row r="208" spans="1:28">
      <c r="A208" s="7" t="s">
        <v>309</v>
      </c>
      <c r="B208" s="34" t="s">
        <v>311</v>
      </c>
      <c r="C208" s="34" t="s">
        <v>381</v>
      </c>
      <c r="D208" s="34" t="str">
        <f t="shared" si="168"/>
        <v>L2min</v>
      </c>
      <c r="E208" s="35" t="s">
        <v>343</v>
      </c>
      <c r="F208" s="36">
        <v>8.56</v>
      </c>
      <c r="G208" s="36">
        <v>27.73</v>
      </c>
      <c r="H208" s="36">
        <v>52.82</v>
      </c>
      <c r="I208" s="36">
        <v>56.63</v>
      </c>
      <c r="J208" s="36">
        <v>57.43</v>
      </c>
      <c r="K208" s="36">
        <v>0</v>
      </c>
      <c r="L208" s="36">
        <v>0</v>
      </c>
      <c r="M208" s="36">
        <v>0</v>
      </c>
      <c r="N208" s="36">
        <v>15</v>
      </c>
      <c r="O208" s="36">
        <v>0.1</v>
      </c>
      <c r="P208" s="36">
        <v>3</v>
      </c>
      <c r="Q208" s="36">
        <v>3.92</v>
      </c>
      <c r="R208" s="36">
        <v>10</v>
      </c>
      <c r="S208" s="36">
        <v>84</v>
      </c>
      <c r="T208" s="36">
        <v>4380</v>
      </c>
      <c r="U208" s="36">
        <v>4380</v>
      </c>
      <c r="V208" s="36">
        <v>4380</v>
      </c>
      <c r="W208" s="36">
        <v>4380</v>
      </c>
      <c r="X208" s="36">
        <v>4380</v>
      </c>
      <c r="Y208" s="36">
        <v>4380</v>
      </c>
      <c r="Z208" s="36">
        <v>4380</v>
      </c>
      <c r="AA208" s="36">
        <v>363</v>
      </c>
      <c r="AB208" s="29"/>
    </row>
    <row r="209" spans="1:28">
      <c r="A209" s="7" t="s">
        <v>309</v>
      </c>
      <c r="B209" s="34" t="s">
        <v>311</v>
      </c>
      <c r="C209" s="34" t="s">
        <v>382</v>
      </c>
      <c r="D209" s="34" t="str">
        <f t="shared" si="168"/>
        <v>L2m</v>
      </c>
      <c r="E209" s="35" t="str">
        <f t="shared" ref="E209:E210" si="177">E208</f>
        <v>高樓層球類運動區( 11M高,使用率75%)</v>
      </c>
      <c r="F209" s="36">
        <f t="shared" ref="F209:F210" si="178">F208</f>
        <v>8.56</v>
      </c>
      <c r="G209" s="36">
        <v>55.32</v>
      </c>
      <c r="H209" s="36">
        <v>71.87</v>
      </c>
      <c r="I209" s="36">
        <v>76.41</v>
      </c>
      <c r="J209" s="36">
        <v>78.040000000000006</v>
      </c>
      <c r="K209" s="36">
        <v>0</v>
      </c>
      <c r="L209" s="36">
        <v>0</v>
      </c>
      <c r="M209" s="36">
        <v>0</v>
      </c>
      <c r="N209" s="36">
        <f t="shared" ref="N209:AA210" si="179">N208</f>
        <v>15</v>
      </c>
      <c r="O209" s="36">
        <f t="shared" si="179"/>
        <v>0.1</v>
      </c>
      <c r="P209" s="36">
        <f t="shared" si="179"/>
        <v>3</v>
      </c>
      <c r="Q209" s="36">
        <f t="shared" si="179"/>
        <v>3.92</v>
      </c>
      <c r="R209" s="36">
        <f t="shared" si="179"/>
        <v>10</v>
      </c>
      <c r="S209" s="36">
        <f t="shared" si="179"/>
        <v>84</v>
      </c>
      <c r="T209" s="36">
        <f t="shared" si="179"/>
        <v>4380</v>
      </c>
      <c r="U209" s="36">
        <f t="shared" si="179"/>
        <v>4380</v>
      </c>
      <c r="V209" s="36">
        <f t="shared" si="179"/>
        <v>4380</v>
      </c>
      <c r="W209" s="36">
        <f t="shared" si="179"/>
        <v>4380</v>
      </c>
      <c r="X209" s="36">
        <f t="shared" si="179"/>
        <v>4380</v>
      </c>
      <c r="Y209" s="36">
        <f t="shared" si="179"/>
        <v>4380</v>
      </c>
      <c r="Z209" s="36">
        <f t="shared" si="179"/>
        <v>4380</v>
      </c>
      <c r="AA209" s="36">
        <f t="shared" si="179"/>
        <v>363</v>
      </c>
      <c r="AB209" s="29"/>
    </row>
    <row r="210" spans="1:28">
      <c r="A210" s="7" t="s">
        <v>309</v>
      </c>
      <c r="B210" s="34" t="s">
        <v>311</v>
      </c>
      <c r="C210" s="34" t="s">
        <v>383</v>
      </c>
      <c r="D210" s="34" t="str">
        <f t="shared" si="168"/>
        <v>L2max</v>
      </c>
      <c r="E210" s="35" t="str">
        <f t="shared" si="177"/>
        <v>高樓層球類運動區( 11M高,使用率75%)</v>
      </c>
      <c r="F210" s="36">
        <f t="shared" si="178"/>
        <v>8.56</v>
      </c>
      <c r="G210" s="36">
        <v>92.3</v>
      </c>
      <c r="H210" s="36">
        <v>99.6</v>
      </c>
      <c r="I210" s="36">
        <v>105.88</v>
      </c>
      <c r="J210" s="36">
        <v>107.18</v>
      </c>
      <c r="K210" s="36">
        <v>0</v>
      </c>
      <c r="L210" s="36">
        <v>0</v>
      </c>
      <c r="M210" s="36">
        <v>0</v>
      </c>
      <c r="N210" s="36">
        <f t="shared" si="179"/>
        <v>15</v>
      </c>
      <c r="O210" s="36">
        <f t="shared" si="179"/>
        <v>0.1</v>
      </c>
      <c r="P210" s="36">
        <f t="shared" si="179"/>
        <v>3</v>
      </c>
      <c r="Q210" s="36">
        <f t="shared" si="179"/>
        <v>3.92</v>
      </c>
      <c r="R210" s="36">
        <f t="shared" si="179"/>
        <v>10</v>
      </c>
      <c r="S210" s="36">
        <f t="shared" si="179"/>
        <v>84</v>
      </c>
      <c r="T210" s="36">
        <f t="shared" si="179"/>
        <v>4380</v>
      </c>
      <c r="U210" s="36">
        <f t="shared" si="179"/>
        <v>4380</v>
      </c>
      <c r="V210" s="36">
        <f t="shared" si="179"/>
        <v>4380</v>
      </c>
      <c r="W210" s="36">
        <f t="shared" si="179"/>
        <v>4380</v>
      </c>
      <c r="X210" s="36">
        <f t="shared" si="179"/>
        <v>4380</v>
      </c>
      <c r="Y210" s="36">
        <f t="shared" si="179"/>
        <v>4380</v>
      </c>
      <c r="Z210" s="36">
        <f t="shared" si="179"/>
        <v>4380</v>
      </c>
      <c r="AA210" s="36">
        <f t="shared" si="179"/>
        <v>363</v>
      </c>
      <c r="AB210" s="29"/>
    </row>
    <row r="211" spans="1:28">
      <c r="A211" s="7" t="s">
        <v>309</v>
      </c>
      <c r="B211" s="34" t="s">
        <v>312</v>
      </c>
      <c r="C211" s="34" t="s">
        <v>381</v>
      </c>
      <c r="D211" s="34" t="str">
        <f t="shared" si="168"/>
        <v>L3min</v>
      </c>
      <c r="E211" s="35" t="s">
        <v>344</v>
      </c>
      <c r="F211" s="36">
        <v>26.08</v>
      </c>
      <c r="G211" s="36">
        <v>20.440000000000001</v>
      </c>
      <c r="H211" s="36">
        <v>65.05</v>
      </c>
      <c r="I211" s="36">
        <v>66.02</v>
      </c>
      <c r="J211" s="36">
        <v>69.39</v>
      </c>
      <c r="K211" s="36">
        <v>0</v>
      </c>
      <c r="L211" s="36">
        <v>0</v>
      </c>
      <c r="M211" s="36">
        <v>0</v>
      </c>
      <c r="N211" s="36">
        <v>10</v>
      </c>
      <c r="O211" s="36">
        <v>0.15</v>
      </c>
      <c r="P211" s="36">
        <v>8</v>
      </c>
      <c r="Q211" s="36">
        <v>7.88</v>
      </c>
      <c r="R211" s="36">
        <v>15</v>
      </c>
      <c r="S211" s="36">
        <v>112</v>
      </c>
      <c r="T211" s="36">
        <v>5808</v>
      </c>
      <c r="U211" s="36">
        <v>5808</v>
      </c>
      <c r="V211" s="36">
        <v>5808</v>
      </c>
      <c r="W211" s="36">
        <v>5808</v>
      </c>
      <c r="X211" s="36">
        <v>5808</v>
      </c>
      <c r="Y211" s="36">
        <v>5808</v>
      </c>
      <c r="Z211" s="36">
        <v>5808</v>
      </c>
      <c r="AA211" s="36">
        <v>363</v>
      </c>
      <c r="AB211" s="29"/>
    </row>
    <row r="212" spans="1:28">
      <c r="A212" s="7" t="s">
        <v>309</v>
      </c>
      <c r="B212" s="34" t="s">
        <v>312</v>
      </c>
      <c r="C212" s="34" t="s">
        <v>382</v>
      </c>
      <c r="D212" s="34" t="str">
        <f t="shared" si="168"/>
        <v>L3m</v>
      </c>
      <c r="E212" s="35" t="str">
        <f t="shared" ref="E212:E213" si="180">E211</f>
        <v>體能調適運動區 (健身房,使用率100%)</v>
      </c>
      <c r="F212" s="36">
        <f t="shared" ref="F212:F213" si="181">F211</f>
        <v>26.08</v>
      </c>
      <c r="G212" s="36">
        <v>40.770000000000003</v>
      </c>
      <c r="H212" s="36">
        <v>85.85</v>
      </c>
      <c r="I212" s="36">
        <v>86.92</v>
      </c>
      <c r="J212" s="36">
        <v>91.73</v>
      </c>
      <c r="K212" s="36">
        <v>0</v>
      </c>
      <c r="L212" s="36">
        <v>0</v>
      </c>
      <c r="M212" s="36">
        <v>0</v>
      </c>
      <c r="N212" s="36">
        <f t="shared" ref="N212:AA213" si="182">N211</f>
        <v>10</v>
      </c>
      <c r="O212" s="36">
        <f t="shared" si="182"/>
        <v>0.15</v>
      </c>
      <c r="P212" s="36">
        <f t="shared" si="182"/>
        <v>8</v>
      </c>
      <c r="Q212" s="36">
        <f t="shared" si="182"/>
        <v>7.88</v>
      </c>
      <c r="R212" s="36">
        <f t="shared" si="182"/>
        <v>15</v>
      </c>
      <c r="S212" s="36">
        <f t="shared" si="182"/>
        <v>112</v>
      </c>
      <c r="T212" s="36">
        <f t="shared" si="182"/>
        <v>5808</v>
      </c>
      <c r="U212" s="36">
        <f t="shared" si="182"/>
        <v>5808</v>
      </c>
      <c r="V212" s="36">
        <f t="shared" si="182"/>
        <v>5808</v>
      </c>
      <c r="W212" s="36">
        <f t="shared" si="182"/>
        <v>5808</v>
      </c>
      <c r="X212" s="36">
        <f t="shared" si="182"/>
        <v>5808</v>
      </c>
      <c r="Y212" s="36">
        <f t="shared" si="182"/>
        <v>5808</v>
      </c>
      <c r="Z212" s="36">
        <f t="shared" si="182"/>
        <v>5808</v>
      </c>
      <c r="AA212" s="36">
        <f t="shared" si="182"/>
        <v>363</v>
      </c>
      <c r="AB212" s="29"/>
    </row>
    <row r="213" spans="1:28">
      <c r="A213" s="7" t="s">
        <v>309</v>
      </c>
      <c r="B213" s="34" t="s">
        <v>312</v>
      </c>
      <c r="C213" s="34" t="s">
        <v>383</v>
      </c>
      <c r="D213" s="34" t="str">
        <f t="shared" si="168"/>
        <v>L3max</v>
      </c>
      <c r="E213" s="35" t="str">
        <f t="shared" si="180"/>
        <v>體能調適運動區 (健身房,使用率100%)</v>
      </c>
      <c r="F213" s="36">
        <f t="shared" si="181"/>
        <v>26.08</v>
      </c>
      <c r="G213" s="36">
        <v>92.3</v>
      </c>
      <c r="H213" s="36">
        <v>112.97</v>
      </c>
      <c r="I213" s="36">
        <v>114.53</v>
      </c>
      <c r="J213" s="36">
        <v>121.05</v>
      </c>
      <c r="K213" s="36">
        <v>0</v>
      </c>
      <c r="L213" s="36">
        <v>0</v>
      </c>
      <c r="M213" s="36">
        <v>0</v>
      </c>
      <c r="N213" s="36">
        <f t="shared" si="182"/>
        <v>10</v>
      </c>
      <c r="O213" s="36">
        <f t="shared" si="182"/>
        <v>0.15</v>
      </c>
      <c r="P213" s="36">
        <f t="shared" si="182"/>
        <v>8</v>
      </c>
      <c r="Q213" s="36">
        <f t="shared" si="182"/>
        <v>7.88</v>
      </c>
      <c r="R213" s="36">
        <f t="shared" si="182"/>
        <v>15</v>
      </c>
      <c r="S213" s="36">
        <f t="shared" si="182"/>
        <v>112</v>
      </c>
      <c r="T213" s="36">
        <f t="shared" si="182"/>
        <v>5808</v>
      </c>
      <c r="U213" s="36">
        <f t="shared" si="182"/>
        <v>5808</v>
      </c>
      <c r="V213" s="36">
        <f t="shared" si="182"/>
        <v>5808</v>
      </c>
      <c r="W213" s="36">
        <f t="shared" si="182"/>
        <v>5808</v>
      </c>
      <c r="X213" s="36">
        <f t="shared" si="182"/>
        <v>5808</v>
      </c>
      <c r="Y213" s="36">
        <f t="shared" si="182"/>
        <v>5808</v>
      </c>
      <c r="Z213" s="36">
        <f t="shared" si="182"/>
        <v>5808</v>
      </c>
      <c r="AA213" s="36">
        <f t="shared" si="182"/>
        <v>363</v>
      </c>
      <c r="AB213" s="29"/>
    </row>
    <row r="214" spans="1:28">
      <c r="A214" s="7" t="s">
        <v>309</v>
      </c>
      <c r="B214" s="34" t="s">
        <v>314</v>
      </c>
      <c r="C214" s="34" t="s">
        <v>381</v>
      </c>
      <c r="D214" s="34" t="str">
        <f t="shared" si="168"/>
        <v>L41min</v>
      </c>
      <c r="E214" s="35" t="s">
        <v>345</v>
      </c>
      <c r="F214" s="36">
        <v>9.82</v>
      </c>
      <c r="G214" s="36">
        <v>15.96</v>
      </c>
      <c r="H214" s="36">
        <v>40.380000000000003</v>
      </c>
      <c r="I214" s="36">
        <v>43.41</v>
      </c>
      <c r="J214" s="36">
        <v>46.01</v>
      </c>
      <c r="K214" s="36">
        <v>0</v>
      </c>
      <c r="L214" s="36">
        <v>0</v>
      </c>
      <c r="M214" s="36">
        <v>0</v>
      </c>
      <c r="N214" s="36">
        <v>10</v>
      </c>
      <c r="O214" s="36">
        <v>0.1</v>
      </c>
      <c r="P214" s="36">
        <v>5</v>
      </c>
      <c r="Q214" s="36">
        <v>5.0599999999999996</v>
      </c>
      <c r="R214" s="36">
        <v>10</v>
      </c>
      <c r="S214" s="36">
        <v>56</v>
      </c>
      <c r="T214" s="36">
        <v>2912</v>
      </c>
      <c r="U214" s="36">
        <v>2912</v>
      </c>
      <c r="V214" s="36">
        <v>2912</v>
      </c>
      <c r="W214" s="36">
        <v>2912</v>
      </c>
      <c r="X214" s="36">
        <v>2912</v>
      </c>
      <c r="Y214" s="36">
        <v>2912</v>
      </c>
      <c r="Z214" s="36">
        <v>2912</v>
      </c>
      <c r="AA214" s="36">
        <v>363</v>
      </c>
      <c r="AB214" s="29"/>
    </row>
    <row r="215" spans="1:28">
      <c r="A215" s="7" t="s">
        <v>309</v>
      </c>
      <c r="B215" s="34" t="s">
        <v>314</v>
      </c>
      <c r="C215" s="34" t="s">
        <v>382</v>
      </c>
      <c r="D215" s="34" t="str">
        <f t="shared" si="168"/>
        <v>L41m</v>
      </c>
      <c r="E215" s="35" t="str">
        <f t="shared" ref="E215:E216" si="183">E214</f>
        <v>多功能教室社區教室、棋藝閱覽室、兒童遊戲室、桌球室、撞球室,使用率62.5%)</v>
      </c>
      <c r="F215" s="36">
        <f t="shared" ref="F215:F216" si="184">F214</f>
        <v>9.82</v>
      </c>
      <c r="G215" s="36">
        <v>31.78</v>
      </c>
      <c r="H215" s="36">
        <v>53.56</v>
      </c>
      <c r="I215" s="36">
        <v>57.33</v>
      </c>
      <c r="J215" s="36">
        <v>60.65</v>
      </c>
      <c r="K215" s="36">
        <v>0</v>
      </c>
      <c r="L215" s="36">
        <v>0</v>
      </c>
      <c r="M215" s="36">
        <v>0</v>
      </c>
      <c r="N215" s="36">
        <f t="shared" ref="N215:AA216" si="185">N214</f>
        <v>10</v>
      </c>
      <c r="O215" s="36">
        <f t="shared" si="185"/>
        <v>0.1</v>
      </c>
      <c r="P215" s="36">
        <f t="shared" si="185"/>
        <v>5</v>
      </c>
      <c r="Q215" s="36">
        <f t="shared" si="185"/>
        <v>5.0599999999999996</v>
      </c>
      <c r="R215" s="36">
        <f t="shared" si="185"/>
        <v>10</v>
      </c>
      <c r="S215" s="36">
        <f t="shared" si="185"/>
        <v>56</v>
      </c>
      <c r="T215" s="36">
        <f t="shared" si="185"/>
        <v>2912</v>
      </c>
      <c r="U215" s="36">
        <f t="shared" si="185"/>
        <v>2912</v>
      </c>
      <c r="V215" s="36">
        <f t="shared" si="185"/>
        <v>2912</v>
      </c>
      <c r="W215" s="36">
        <f t="shared" si="185"/>
        <v>2912</v>
      </c>
      <c r="X215" s="36">
        <f t="shared" si="185"/>
        <v>2912</v>
      </c>
      <c r="Y215" s="36">
        <f t="shared" si="185"/>
        <v>2912</v>
      </c>
      <c r="Z215" s="36">
        <f t="shared" si="185"/>
        <v>2912</v>
      </c>
      <c r="AA215" s="36">
        <f t="shared" si="185"/>
        <v>363</v>
      </c>
      <c r="AB215" s="29"/>
    </row>
    <row r="216" spans="1:28">
      <c r="A216" s="7" t="s">
        <v>309</v>
      </c>
      <c r="B216" s="34" t="s">
        <v>314</v>
      </c>
      <c r="C216" s="34" t="s">
        <v>383</v>
      </c>
      <c r="D216" s="34" t="str">
        <f t="shared" si="168"/>
        <v>L41max</v>
      </c>
      <c r="E216" s="35" t="str">
        <f t="shared" si="183"/>
        <v>多功能教室社區教室、棋藝閱覽室、兒童遊戲室、桌球室、撞球室,使用率62.5%)</v>
      </c>
      <c r="F216" s="36">
        <f t="shared" si="184"/>
        <v>9.82</v>
      </c>
      <c r="G216" s="36">
        <v>53.14</v>
      </c>
      <c r="H216" s="36">
        <v>71.47</v>
      </c>
      <c r="I216" s="36">
        <v>75.760000000000005</v>
      </c>
      <c r="J216" s="36">
        <v>80.349999999999994</v>
      </c>
      <c r="K216" s="36">
        <v>0</v>
      </c>
      <c r="L216" s="36">
        <v>0</v>
      </c>
      <c r="M216" s="36">
        <v>0</v>
      </c>
      <c r="N216" s="36">
        <f t="shared" si="185"/>
        <v>10</v>
      </c>
      <c r="O216" s="36">
        <f t="shared" si="185"/>
        <v>0.1</v>
      </c>
      <c r="P216" s="36">
        <f t="shared" si="185"/>
        <v>5</v>
      </c>
      <c r="Q216" s="36">
        <f t="shared" si="185"/>
        <v>5.0599999999999996</v>
      </c>
      <c r="R216" s="36">
        <f t="shared" si="185"/>
        <v>10</v>
      </c>
      <c r="S216" s="36">
        <f t="shared" si="185"/>
        <v>56</v>
      </c>
      <c r="T216" s="36">
        <f t="shared" si="185"/>
        <v>2912</v>
      </c>
      <c r="U216" s="36">
        <f t="shared" si="185"/>
        <v>2912</v>
      </c>
      <c r="V216" s="36">
        <f t="shared" si="185"/>
        <v>2912</v>
      </c>
      <c r="W216" s="36">
        <f t="shared" si="185"/>
        <v>2912</v>
      </c>
      <c r="X216" s="36">
        <f t="shared" si="185"/>
        <v>2912</v>
      </c>
      <c r="Y216" s="36">
        <f t="shared" si="185"/>
        <v>2912</v>
      </c>
      <c r="Z216" s="36">
        <f t="shared" si="185"/>
        <v>2912</v>
      </c>
      <c r="AA216" s="36">
        <f t="shared" si="185"/>
        <v>363</v>
      </c>
      <c r="AB216" s="29"/>
    </row>
    <row r="217" spans="1:28">
      <c r="A217" s="7" t="s">
        <v>309</v>
      </c>
      <c r="B217" s="34" t="s">
        <v>313</v>
      </c>
      <c r="C217" s="34" t="s">
        <v>381</v>
      </c>
      <c r="D217" s="34" t="str">
        <f t="shared" si="168"/>
        <v>L42min</v>
      </c>
      <c r="E217" s="35" t="s">
        <v>346</v>
      </c>
      <c r="F217" s="36">
        <v>16.38</v>
      </c>
      <c r="G217" s="36">
        <v>26.4</v>
      </c>
      <c r="H217" s="36">
        <v>128.35</v>
      </c>
      <c r="I217" s="36">
        <v>128.68</v>
      </c>
      <c r="J217" s="36">
        <v>142.79</v>
      </c>
      <c r="K217" s="36">
        <v>0</v>
      </c>
      <c r="L217" s="36">
        <v>0</v>
      </c>
      <c r="M217" s="36">
        <v>0</v>
      </c>
      <c r="N217" s="36">
        <v>10</v>
      </c>
      <c r="O217" s="36">
        <v>0.3</v>
      </c>
      <c r="P217" s="36">
        <v>5</v>
      </c>
      <c r="Q217" s="36">
        <v>0.9</v>
      </c>
      <c r="R217" s="36">
        <v>15</v>
      </c>
      <c r="S217" s="36">
        <v>84</v>
      </c>
      <c r="T217" s="36">
        <v>4380</v>
      </c>
      <c r="U217" s="36">
        <v>4380</v>
      </c>
      <c r="V217" s="36">
        <v>4380</v>
      </c>
      <c r="W217" s="36">
        <v>4380</v>
      </c>
      <c r="X217" s="36">
        <v>4380</v>
      </c>
      <c r="Y217" s="36">
        <v>4380</v>
      </c>
      <c r="Z217" s="36">
        <v>4380</v>
      </c>
      <c r="AA217" s="36">
        <v>363</v>
      </c>
      <c r="AB217" s="29"/>
    </row>
    <row r="218" spans="1:28">
      <c r="A218" s="7" t="s">
        <v>309</v>
      </c>
      <c r="B218" s="34" t="s">
        <v>313</v>
      </c>
      <c r="C218" s="34" t="s">
        <v>382</v>
      </c>
      <c r="D218" s="34" t="str">
        <f t="shared" si="168"/>
        <v>L42m</v>
      </c>
      <c r="E218" s="35" t="str">
        <f t="shared" ref="E218:E219" si="186">E217</f>
        <v>多功能教室(韻律教室、飛輪教室、舞蹈教室、壁球室, 使用率75 %)</v>
      </c>
      <c r="F218" s="36">
        <f t="shared" ref="F218:F219" si="187">F217</f>
        <v>16.38</v>
      </c>
      <c r="G218" s="36">
        <v>52.33</v>
      </c>
      <c r="H218" s="36">
        <v>163.21</v>
      </c>
      <c r="I218" s="36">
        <v>162.22</v>
      </c>
      <c r="J218" s="36">
        <v>182.35</v>
      </c>
      <c r="K218" s="36">
        <v>0</v>
      </c>
      <c r="L218" s="36">
        <v>0</v>
      </c>
      <c r="M218" s="36">
        <v>0</v>
      </c>
      <c r="N218" s="36">
        <f t="shared" ref="N218:AA219" si="188">N217</f>
        <v>10</v>
      </c>
      <c r="O218" s="36">
        <f t="shared" si="188"/>
        <v>0.3</v>
      </c>
      <c r="P218" s="36">
        <f t="shared" si="188"/>
        <v>5</v>
      </c>
      <c r="Q218" s="36">
        <f t="shared" si="188"/>
        <v>0.9</v>
      </c>
      <c r="R218" s="36">
        <f t="shared" si="188"/>
        <v>15</v>
      </c>
      <c r="S218" s="36">
        <f t="shared" si="188"/>
        <v>84</v>
      </c>
      <c r="T218" s="36">
        <f t="shared" si="188"/>
        <v>4380</v>
      </c>
      <c r="U218" s="36">
        <f t="shared" si="188"/>
        <v>4380</v>
      </c>
      <c r="V218" s="36">
        <f t="shared" si="188"/>
        <v>4380</v>
      </c>
      <c r="W218" s="36">
        <f t="shared" si="188"/>
        <v>4380</v>
      </c>
      <c r="X218" s="36">
        <f t="shared" si="188"/>
        <v>4380</v>
      </c>
      <c r="Y218" s="36">
        <f t="shared" si="188"/>
        <v>4380</v>
      </c>
      <c r="Z218" s="36">
        <f t="shared" si="188"/>
        <v>4380</v>
      </c>
      <c r="AA218" s="36">
        <f t="shared" si="188"/>
        <v>363</v>
      </c>
      <c r="AB218" s="29"/>
    </row>
    <row r="219" spans="1:28">
      <c r="A219" s="7" t="s">
        <v>309</v>
      </c>
      <c r="B219" s="34" t="s">
        <v>313</v>
      </c>
      <c r="C219" s="34" t="s">
        <v>383</v>
      </c>
      <c r="D219" s="34" t="str">
        <f t="shared" si="168"/>
        <v>L42max</v>
      </c>
      <c r="E219" s="35" t="str">
        <f t="shared" si="186"/>
        <v>多功能教室(韻律教室、飛輪教室、舞蹈教室、壁球室, 使用率75 %)</v>
      </c>
      <c r="F219" s="36">
        <f t="shared" si="187"/>
        <v>16.38</v>
      </c>
      <c r="G219" s="36">
        <v>87.69</v>
      </c>
      <c r="H219" s="36">
        <v>211.14</v>
      </c>
      <c r="I219" s="36">
        <v>208.02</v>
      </c>
      <c r="J219" s="36">
        <v>234.79</v>
      </c>
      <c r="K219" s="36">
        <v>0</v>
      </c>
      <c r="L219" s="36">
        <v>0</v>
      </c>
      <c r="M219" s="36">
        <v>0</v>
      </c>
      <c r="N219" s="36">
        <f t="shared" si="188"/>
        <v>10</v>
      </c>
      <c r="O219" s="36">
        <f t="shared" si="188"/>
        <v>0.3</v>
      </c>
      <c r="P219" s="36">
        <f t="shared" si="188"/>
        <v>5</v>
      </c>
      <c r="Q219" s="36">
        <f t="shared" si="188"/>
        <v>0.9</v>
      </c>
      <c r="R219" s="36">
        <f t="shared" si="188"/>
        <v>15</v>
      </c>
      <c r="S219" s="36">
        <f t="shared" si="188"/>
        <v>84</v>
      </c>
      <c r="T219" s="36">
        <f t="shared" si="188"/>
        <v>4380</v>
      </c>
      <c r="U219" s="36">
        <f t="shared" si="188"/>
        <v>4380</v>
      </c>
      <c r="V219" s="36">
        <f t="shared" si="188"/>
        <v>4380</v>
      </c>
      <c r="W219" s="36">
        <f t="shared" si="188"/>
        <v>4380</v>
      </c>
      <c r="X219" s="36">
        <f t="shared" si="188"/>
        <v>4380</v>
      </c>
      <c r="Y219" s="36">
        <f t="shared" si="188"/>
        <v>4380</v>
      </c>
      <c r="Z219" s="36">
        <f t="shared" si="188"/>
        <v>4380</v>
      </c>
      <c r="AA219" s="36">
        <f t="shared" si="188"/>
        <v>363</v>
      </c>
      <c r="AB219" s="29"/>
    </row>
    <row r="220" spans="1:28">
      <c r="A220" s="7" t="s">
        <v>309</v>
      </c>
      <c r="B220" s="34" t="s">
        <v>315</v>
      </c>
      <c r="C220" s="34" t="s">
        <v>381</v>
      </c>
      <c r="D220" s="34" t="str">
        <f t="shared" si="168"/>
        <v>L5min</v>
      </c>
      <c r="E220" s="35" t="s">
        <v>347</v>
      </c>
      <c r="F220" s="36">
        <v>16.760000000000002</v>
      </c>
      <c r="G220" s="36">
        <v>30.08</v>
      </c>
      <c r="H220" s="36">
        <v>435.68</v>
      </c>
      <c r="I220" s="36">
        <v>0</v>
      </c>
      <c r="J220" s="36">
        <v>0</v>
      </c>
      <c r="K220" s="36">
        <v>0</v>
      </c>
      <c r="L220" s="36">
        <v>0</v>
      </c>
      <c r="M220" s="36">
        <v>0</v>
      </c>
      <c r="N220" s="36">
        <v>10</v>
      </c>
      <c r="O220" s="36">
        <v>0.2</v>
      </c>
      <c r="P220" s="36">
        <v>3</v>
      </c>
      <c r="Q220" s="36">
        <v>3.92</v>
      </c>
      <c r="R220" s="36">
        <v>10</v>
      </c>
      <c r="S220" s="36">
        <v>70</v>
      </c>
      <c r="T220" s="36">
        <v>3630</v>
      </c>
      <c r="U220" s="36">
        <v>3630</v>
      </c>
      <c r="V220" s="36">
        <v>3630</v>
      </c>
      <c r="W220" s="36">
        <v>3630</v>
      </c>
      <c r="X220" s="36">
        <v>3630</v>
      </c>
      <c r="Y220" s="36">
        <v>3630</v>
      </c>
      <c r="Z220" s="36">
        <v>3630</v>
      </c>
      <c r="AA220" s="36">
        <v>363</v>
      </c>
      <c r="AB220" s="29"/>
    </row>
    <row r="221" spans="1:28">
      <c r="A221" s="7" t="s">
        <v>309</v>
      </c>
      <c r="B221" s="34" t="s">
        <v>315</v>
      </c>
      <c r="C221" s="34" t="s">
        <v>382</v>
      </c>
      <c r="D221" s="34" t="str">
        <f t="shared" si="168"/>
        <v>L5m</v>
      </c>
      <c r="E221" s="35" t="str">
        <f t="shared" ref="E221:E222" si="189">E220</f>
        <v>室內溜冰區 (使用率100 %)</v>
      </c>
      <c r="F221" s="36">
        <f t="shared" ref="F221:F222" si="190">F220</f>
        <v>16.760000000000002</v>
      </c>
      <c r="G221" s="36">
        <v>59.71</v>
      </c>
      <c r="H221" s="36">
        <v>553.95000000000005</v>
      </c>
      <c r="I221" s="36">
        <v>0</v>
      </c>
      <c r="J221" s="36">
        <v>0</v>
      </c>
      <c r="K221" s="36">
        <v>0</v>
      </c>
      <c r="L221" s="36">
        <v>0</v>
      </c>
      <c r="M221" s="36">
        <v>0</v>
      </c>
      <c r="N221" s="36">
        <f t="shared" ref="N221:AA222" si="191">N220</f>
        <v>10</v>
      </c>
      <c r="O221" s="36">
        <f t="shared" si="191"/>
        <v>0.2</v>
      </c>
      <c r="P221" s="36">
        <f t="shared" si="191"/>
        <v>3</v>
      </c>
      <c r="Q221" s="36">
        <f t="shared" si="191"/>
        <v>3.92</v>
      </c>
      <c r="R221" s="36">
        <f t="shared" si="191"/>
        <v>10</v>
      </c>
      <c r="S221" s="36">
        <f t="shared" si="191"/>
        <v>70</v>
      </c>
      <c r="T221" s="36">
        <f t="shared" si="191"/>
        <v>3630</v>
      </c>
      <c r="U221" s="36">
        <f t="shared" si="191"/>
        <v>3630</v>
      </c>
      <c r="V221" s="36">
        <f t="shared" si="191"/>
        <v>3630</v>
      </c>
      <c r="W221" s="36">
        <f t="shared" si="191"/>
        <v>3630</v>
      </c>
      <c r="X221" s="36">
        <f t="shared" si="191"/>
        <v>3630</v>
      </c>
      <c r="Y221" s="36">
        <f t="shared" si="191"/>
        <v>3630</v>
      </c>
      <c r="Z221" s="36">
        <f t="shared" si="191"/>
        <v>3630</v>
      </c>
      <c r="AA221" s="36">
        <f t="shared" si="191"/>
        <v>363</v>
      </c>
      <c r="AB221" s="29"/>
    </row>
    <row r="222" spans="1:28">
      <c r="A222" s="7" t="s">
        <v>309</v>
      </c>
      <c r="B222" s="34" t="s">
        <v>315</v>
      </c>
      <c r="C222" s="34" t="s">
        <v>383</v>
      </c>
      <c r="D222" s="34" t="str">
        <f t="shared" si="168"/>
        <v>L5max</v>
      </c>
      <c r="E222" s="35" t="str">
        <f t="shared" si="189"/>
        <v>室內溜冰區 (使用率100 %)</v>
      </c>
      <c r="F222" s="36">
        <f t="shared" si="190"/>
        <v>16.760000000000002</v>
      </c>
      <c r="G222" s="36">
        <v>99.99</v>
      </c>
      <c r="H222" s="36">
        <v>650.42999999999995</v>
      </c>
      <c r="I222" s="36">
        <v>0</v>
      </c>
      <c r="J222" s="36">
        <v>0</v>
      </c>
      <c r="K222" s="36">
        <v>0</v>
      </c>
      <c r="L222" s="36">
        <v>0</v>
      </c>
      <c r="M222" s="36">
        <v>0</v>
      </c>
      <c r="N222" s="36">
        <f t="shared" si="191"/>
        <v>10</v>
      </c>
      <c r="O222" s="36">
        <f t="shared" si="191"/>
        <v>0.2</v>
      </c>
      <c r="P222" s="36">
        <f t="shared" si="191"/>
        <v>3</v>
      </c>
      <c r="Q222" s="36">
        <f t="shared" si="191"/>
        <v>3.92</v>
      </c>
      <c r="R222" s="36">
        <f t="shared" si="191"/>
        <v>10</v>
      </c>
      <c r="S222" s="36">
        <f t="shared" si="191"/>
        <v>70</v>
      </c>
      <c r="T222" s="36">
        <f t="shared" si="191"/>
        <v>3630</v>
      </c>
      <c r="U222" s="36">
        <f t="shared" si="191"/>
        <v>3630</v>
      </c>
      <c r="V222" s="36">
        <f t="shared" si="191"/>
        <v>3630</v>
      </c>
      <c r="W222" s="36">
        <f t="shared" si="191"/>
        <v>3630</v>
      </c>
      <c r="X222" s="36">
        <f t="shared" si="191"/>
        <v>3630</v>
      </c>
      <c r="Y222" s="36">
        <f t="shared" si="191"/>
        <v>3630</v>
      </c>
      <c r="Z222" s="36">
        <f t="shared" si="191"/>
        <v>3630</v>
      </c>
      <c r="AA222" s="36">
        <f t="shared" si="191"/>
        <v>363</v>
      </c>
      <c r="AB222" s="29"/>
    </row>
    <row r="223" spans="1:28">
      <c r="A223" s="7" t="s">
        <v>309</v>
      </c>
      <c r="B223" s="34" t="s">
        <v>316</v>
      </c>
      <c r="C223" s="34" t="s">
        <v>381</v>
      </c>
      <c r="D223" s="34" t="str">
        <f t="shared" si="168"/>
        <v>L61min</v>
      </c>
      <c r="E223" s="35" t="s">
        <v>339</v>
      </c>
      <c r="F223" s="36">
        <v>11.82</v>
      </c>
      <c r="G223" s="36">
        <v>24.33</v>
      </c>
      <c r="H223" s="36">
        <v>44.08</v>
      </c>
      <c r="I223" s="36">
        <v>44.94</v>
      </c>
      <c r="J223" s="36">
        <v>77.849999999999994</v>
      </c>
      <c r="K223" s="36">
        <v>0</v>
      </c>
      <c r="L223" s="36">
        <v>0</v>
      </c>
      <c r="M223" s="36">
        <v>0</v>
      </c>
      <c r="N223" s="36">
        <v>10</v>
      </c>
      <c r="O223" s="36">
        <v>0.1</v>
      </c>
      <c r="P223" s="36">
        <v>3</v>
      </c>
      <c r="Q223" s="36">
        <v>3.92</v>
      </c>
      <c r="R223" s="36">
        <v>10</v>
      </c>
      <c r="S223" s="36">
        <v>112</v>
      </c>
      <c r="T223" s="36">
        <v>5808</v>
      </c>
      <c r="U223" s="36">
        <v>5808</v>
      </c>
      <c r="V223" s="36">
        <v>5808</v>
      </c>
      <c r="W223" s="36">
        <v>5808</v>
      </c>
      <c r="X223" s="36">
        <v>5808</v>
      </c>
      <c r="Y223" s="36">
        <v>5808</v>
      </c>
      <c r="Z223" s="36">
        <v>5808</v>
      </c>
      <c r="AA223" s="36">
        <v>363</v>
      </c>
      <c r="AB223" s="29"/>
    </row>
    <row r="224" spans="1:28">
      <c r="A224" s="7" t="s">
        <v>309</v>
      </c>
      <c r="B224" s="34" t="s">
        <v>316</v>
      </c>
      <c r="C224" s="34" t="s">
        <v>382</v>
      </c>
      <c r="D224" s="34" t="str">
        <f t="shared" si="168"/>
        <v>L61m</v>
      </c>
      <c r="E224" s="35" t="str">
        <f t="shared" ref="E224:E225" si="192">E223</f>
        <v>全年溫水空調型游泳池</v>
      </c>
      <c r="F224" s="36">
        <f t="shared" ref="F224:F225" si="193">F223</f>
        <v>11.82</v>
      </c>
      <c r="G224" s="36">
        <v>48.4</v>
      </c>
      <c r="H224" s="36">
        <v>62.06</v>
      </c>
      <c r="I224" s="36">
        <v>64.39</v>
      </c>
      <c r="J224" s="36">
        <v>111.68</v>
      </c>
      <c r="K224" s="36">
        <v>0</v>
      </c>
      <c r="L224" s="36">
        <v>0</v>
      </c>
      <c r="M224" s="36">
        <v>0</v>
      </c>
      <c r="N224" s="36">
        <f t="shared" ref="N224:AA225" si="194">N223</f>
        <v>10</v>
      </c>
      <c r="O224" s="36">
        <f t="shared" si="194"/>
        <v>0.1</v>
      </c>
      <c r="P224" s="36">
        <f t="shared" si="194"/>
        <v>3</v>
      </c>
      <c r="Q224" s="36">
        <f t="shared" si="194"/>
        <v>3.92</v>
      </c>
      <c r="R224" s="36">
        <f t="shared" si="194"/>
        <v>10</v>
      </c>
      <c r="S224" s="36">
        <f t="shared" si="194"/>
        <v>112</v>
      </c>
      <c r="T224" s="36">
        <f t="shared" si="194"/>
        <v>5808</v>
      </c>
      <c r="U224" s="36">
        <f t="shared" si="194"/>
        <v>5808</v>
      </c>
      <c r="V224" s="36">
        <f t="shared" si="194"/>
        <v>5808</v>
      </c>
      <c r="W224" s="36">
        <f t="shared" si="194"/>
        <v>5808</v>
      </c>
      <c r="X224" s="36">
        <f t="shared" si="194"/>
        <v>5808</v>
      </c>
      <c r="Y224" s="36">
        <f t="shared" si="194"/>
        <v>5808</v>
      </c>
      <c r="Z224" s="36">
        <f t="shared" si="194"/>
        <v>5808</v>
      </c>
      <c r="AA224" s="36">
        <f t="shared" si="194"/>
        <v>363</v>
      </c>
      <c r="AB224" s="29"/>
    </row>
    <row r="225" spans="1:28">
      <c r="A225" s="7" t="s">
        <v>309</v>
      </c>
      <c r="B225" s="34" t="s">
        <v>316</v>
      </c>
      <c r="C225" s="34" t="s">
        <v>383</v>
      </c>
      <c r="D225" s="34" t="str">
        <f t="shared" si="168"/>
        <v>L61max</v>
      </c>
      <c r="E225" s="35" t="str">
        <f t="shared" si="192"/>
        <v>全年溫水空調型游泳池</v>
      </c>
      <c r="F225" s="36">
        <f t="shared" si="193"/>
        <v>11.82</v>
      </c>
      <c r="G225" s="36">
        <v>80.95</v>
      </c>
      <c r="H225" s="36">
        <v>87.85</v>
      </c>
      <c r="I225" s="36">
        <v>91.25</v>
      </c>
      <c r="J225" s="36">
        <v>160.91999999999999</v>
      </c>
      <c r="K225" s="36">
        <v>0</v>
      </c>
      <c r="L225" s="36">
        <v>0</v>
      </c>
      <c r="M225" s="36">
        <v>0</v>
      </c>
      <c r="N225" s="36">
        <f t="shared" si="194"/>
        <v>10</v>
      </c>
      <c r="O225" s="36">
        <f t="shared" si="194"/>
        <v>0.1</v>
      </c>
      <c r="P225" s="36">
        <f t="shared" si="194"/>
        <v>3</v>
      </c>
      <c r="Q225" s="36">
        <f t="shared" si="194"/>
        <v>3.92</v>
      </c>
      <c r="R225" s="36">
        <f t="shared" si="194"/>
        <v>10</v>
      </c>
      <c r="S225" s="36">
        <f t="shared" si="194"/>
        <v>112</v>
      </c>
      <c r="T225" s="36">
        <f t="shared" si="194"/>
        <v>5808</v>
      </c>
      <c r="U225" s="36">
        <f t="shared" si="194"/>
        <v>5808</v>
      </c>
      <c r="V225" s="36">
        <f t="shared" si="194"/>
        <v>5808</v>
      </c>
      <c r="W225" s="36">
        <f t="shared" si="194"/>
        <v>5808</v>
      </c>
      <c r="X225" s="36">
        <f t="shared" si="194"/>
        <v>5808</v>
      </c>
      <c r="Y225" s="36">
        <f t="shared" si="194"/>
        <v>5808</v>
      </c>
      <c r="Z225" s="36">
        <f t="shared" si="194"/>
        <v>5808</v>
      </c>
      <c r="AA225" s="36">
        <f t="shared" si="194"/>
        <v>363</v>
      </c>
      <c r="AB225" s="29"/>
    </row>
    <row r="226" spans="1:28">
      <c r="A226" s="7" t="s">
        <v>309</v>
      </c>
      <c r="B226" s="34" t="s">
        <v>317</v>
      </c>
      <c r="C226" s="34" t="s">
        <v>381</v>
      </c>
      <c r="D226" s="34" t="str">
        <f t="shared" si="168"/>
        <v>L62min</v>
      </c>
      <c r="E226" s="35" t="s">
        <v>341</v>
      </c>
      <c r="F226" s="36">
        <v>11.82</v>
      </c>
      <c r="G226" s="36">
        <v>24.33</v>
      </c>
      <c r="H226" s="36">
        <v>0</v>
      </c>
      <c r="I226" s="36">
        <v>0</v>
      </c>
      <c r="J226" s="36">
        <v>0</v>
      </c>
      <c r="K226" s="36">
        <v>39.07</v>
      </c>
      <c r="L226" s="36">
        <v>39.950000000000003</v>
      </c>
      <c r="M226" s="36">
        <v>42.03</v>
      </c>
      <c r="N226" s="36">
        <v>10</v>
      </c>
      <c r="O226" s="36">
        <v>0.1</v>
      </c>
      <c r="P226" s="36">
        <v>3</v>
      </c>
      <c r="Q226" s="36">
        <v>3.92</v>
      </c>
      <c r="R226" s="36">
        <v>10</v>
      </c>
      <c r="S226" s="36">
        <v>112</v>
      </c>
      <c r="T226" s="36">
        <v>5808</v>
      </c>
      <c r="U226" s="36">
        <v>2896</v>
      </c>
      <c r="V226" s="36">
        <v>2416</v>
      </c>
      <c r="W226" s="36">
        <v>1936</v>
      </c>
      <c r="X226" s="36">
        <v>2896</v>
      </c>
      <c r="Y226" s="36">
        <v>2416</v>
      </c>
      <c r="Z226" s="36">
        <v>1936</v>
      </c>
      <c r="AA226" s="36">
        <v>363</v>
      </c>
      <c r="AB226" s="29"/>
    </row>
    <row r="227" spans="1:28">
      <c r="A227" s="7" t="s">
        <v>309</v>
      </c>
      <c r="B227" s="34" t="s">
        <v>317</v>
      </c>
      <c r="C227" s="34" t="s">
        <v>382</v>
      </c>
      <c r="D227" s="34" t="str">
        <f t="shared" si="168"/>
        <v>L62m</v>
      </c>
      <c r="E227" s="35" t="str">
        <f t="shared" ref="E227:E228" si="195">E226</f>
        <v>季節溫水空調型游泳池</v>
      </c>
      <c r="F227" s="36">
        <f t="shared" ref="F227:F228" si="196">F226</f>
        <v>11.82</v>
      </c>
      <c r="G227" s="36">
        <v>48.4</v>
      </c>
      <c r="H227" s="36">
        <v>0</v>
      </c>
      <c r="I227" s="36">
        <v>0</v>
      </c>
      <c r="J227" s="36">
        <v>0</v>
      </c>
      <c r="K227" s="36">
        <v>55.69</v>
      </c>
      <c r="L227" s="36">
        <v>84.08</v>
      </c>
      <c r="M227" s="36">
        <v>61.48</v>
      </c>
      <c r="N227" s="36">
        <f t="shared" ref="N227:AA228" si="197">N226</f>
        <v>10</v>
      </c>
      <c r="O227" s="36">
        <f t="shared" si="197"/>
        <v>0.1</v>
      </c>
      <c r="P227" s="36">
        <f t="shared" si="197"/>
        <v>3</v>
      </c>
      <c r="Q227" s="36">
        <f t="shared" si="197"/>
        <v>3.92</v>
      </c>
      <c r="R227" s="36">
        <f t="shared" si="197"/>
        <v>10</v>
      </c>
      <c r="S227" s="36">
        <f t="shared" si="197"/>
        <v>112</v>
      </c>
      <c r="T227" s="36">
        <f t="shared" si="197"/>
        <v>5808</v>
      </c>
      <c r="U227" s="36">
        <f t="shared" si="197"/>
        <v>2896</v>
      </c>
      <c r="V227" s="36">
        <f t="shared" si="197"/>
        <v>2416</v>
      </c>
      <c r="W227" s="36">
        <f t="shared" si="197"/>
        <v>1936</v>
      </c>
      <c r="X227" s="36">
        <f t="shared" si="197"/>
        <v>2896</v>
      </c>
      <c r="Y227" s="36">
        <f t="shared" si="197"/>
        <v>2416</v>
      </c>
      <c r="Z227" s="36">
        <f t="shared" si="197"/>
        <v>1936</v>
      </c>
      <c r="AA227" s="36">
        <f t="shared" si="197"/>
        <v>363</v>
      </c>
      <c r="AB227" s="29"/>
    </row>
    <row r="228" spans="1:28">
      <c r="A228" s="7" t="s">
        <v>309</v>
      </c>
      <c r="B228" s="34" t="s">
        <v>317</v>
      </c>
      <c r="C228" s="34" t="s">
        <v>383</v>
      </c>
      <c r="D228" s="34" t="str">
        <f t="shared" si="168"/>
        <v>L62max</v>
      </c>
      <c r="E228" s="35" t="str">
        <f t="shared" si="195"/>
        <v>季節溫水空調型游泳池</v>
      </c>
      <c r="F228" s="36">
        <f t="shared" si="196"/>
        <v>11.82</v>
      </c>
      <c r="G228" s="36">
        <v>80.95</v>
      </c>
      <c r="H228" s="36">
        <v>0</v>
      </c>
      <c r="I228" s="36">
        <v>0</v>
      </c>
      <c r="J228" s="36">
        <v>0</v>
      </c>
      <c r="K228" s="36">
        <v>81.11</v>
      </c>
      <c r="L228" s="36">
        <v>84.67</v>
      </c>
      <c r="M228" s="36">
        <v>90.3</v>
      </c>
      <c r="N228" s="36">
        <f t="shared" si="197"/>
        <v>10</v>
      </c>
      <c r="O228" s="36">
        <f t="shared" si="197"/>
        <v>0.1</v>
      </c>
      <c r="P228" s="36">
        <f t="shared" si="197"/>
        <v>3</v>
      </c>
      <c r="Q228" s="36">
        <f t="shared" si="197"/>
        <v>3.92</v>
      </c>
      <c r="R228" s="36">
        <f t="shared" si="197"/>
        <v>10</v>
      </c>
      <c r="S228" s="36">
        <f t="shared" si="197"/>
        <v>112</v>
      </c>
      <c r="T228" s="36">
        <f t="shared" si="197"/>
        <v>5808</v>
      </c>
      <c r="U228" s="36">
        <f t="shared" si="197"/>
        <v>2896</v>
      </c>
      <c r="V228" s="36">
        <f t="shared" si="197"/>
        <v>2416</v>
      </c>
      <c r="W228" s="36">
        <f t="shared" si="197"/>
        <v>1936</v>
      </c>
      <c r="X228" s="36">
        <f t="shared" si="197"/>
        <v>2896</v>
      </c>
      <c r="Y228" s="36">
        <f t="shared" si="197"/>
        <v>2416</v>
      </c>
      <c r="Z228" s="36">
        <f t="shared" si="197"/>
        <v>1936</v>
      </c>
      <c r="AA228" s="36">
        <f t="shared" si="197"/>
        <v>363</v>
      </c>
      <c r="AB228" s="29"/>
    </row>
    <row r="229" spans="1:28">
      <c r="A229" s="7" t="s">
        <v>309</v>
      </c>
      <c r="B229" s="34" t="s">
        <v>318</v>
      </c>
      <c r="C229" s="34" t="s">
        <v>381</v>
      </c>
      <c r="D229" s="34" t="str">
        <f t="shared" si="168"/>
        <v>L63min</v>
      </c>
      <c r="E229" s="35" t="s">
        <v>340</v>
      </c>
      <c r="F229" s="36">
        <v>49.96</v>
      </c>
      <c r="G229" s="36">
        <v>24.33</v>
      </c>
      <c r="H229" s="36">
        <v>0</v>
      </c>
      <c r="I229" s="36">
        <v>0</v>
      </c>
      <c r="J229" s="36">
        <v>0</v>
      </c>
      <c r="K229" s="36">
        <v>12.79</v>
      </c>
      <c r="L229" s="36">
        <v>14.66</v>
      </c>
      <c r="M229" s="36">
        <v>15.54</v>
      </c>
      <c r="N229" s="36">
        <v>10</v>
      </c>
      <c r="O229" s="36">
        <v>0.1</v>
      </c>
      <c r="P229" s="36">
        <v>3</v>
      </c>
      <c r="Q229" s="36">
        <v>3.92</v>
      </c>
      <c r="R229" s="36">
        <v>10</v>
      </c>
      <c r="S229" s="36">
        <v>112</v>
      </c>
      <c r="T229" s="36">
        <v>5808</v>
      </c>
      <c r="U229" s="36">
        <v>0</v>
      </c>
      <c r="V229" s="36">
        <v>0</v>
      </c>
      <c r="W229" s="36">
        <v>0</v>
      </c>
      <c r="X229" s="255">
        <v>0</v>
      </c>
      <c r="Y229" s="36">
        <v>0</v>
      </c>
      <c r="Z229" s="36">
        <v>0</v>
      </c>
      <c r="AA229" s="36">
        <v>363</v>
      </c>
      <c r="AB229" s="29"/>
    </row>
    <row r="230" spans="1:28">
      <c r="A230" s="7" t="s">
        <v>309</v>
      </c>
      <c r="B230" s="34" t="s">
        <v>318</v>
      </c>
      <c r="C230" s="34" t="s">
        <v>382</v>
      </c>
      <c r="D230" s="34" t="str">
        <f t="shared" si="168"/>
        <v>L63m</v>
      </c>
      <c r="E230" s="37" t="str">
        <f t="shared" ref="E230:E231" si="198">E229</f>
        <v>通風無空調季節溫水游泳池</v>
      </c>
      <c r="F230" s="36">
        <f t="shared" ref="F230:F231" si="199">F229</f>
        <v>49.96</v>
      </c>
      <c r="G230" s="36">
        <v>48.4</v>
      </c>
      <c r="H230" s="36">
        <v>0</v>
      </c>
      <c r="I230" s="36">
        <v>0</v>
      </c>
      <c r="J230" s="36">
        <v>0</v>
      </c>
      <c r="K230" s="36">
        <v>18.53</v>
      </c>
      <c r="L230" s="36">
        <v>21</v>
      </c>
      <c r="M230" s="36">
        <v>22.14</v>
      </c>
      <c r="N230" s="36">
        <f t="shared" ref="N230:AA231" si="200">N229</f>
        <v>10</v>
      </c>
      <c r="O230" s="36">
        <f t="shared" si="200"/>
        <v>0.1</v>
      </c>
      <c r="P230" s="36">
        <f t="shared" si="200"/>
        <v>3</v>
      </c>
      <c r="Q230" s="36">
        <f t="shared" si="200"/>
        <v>3.92</v>
      </c>
      <c r="R230" s="36">
        <f t="shared" si="200"/>
        <v>10</v>
      </c>
      <c r="S230" s="36">
        <f t="shared" si="200"/>
        <v>112</v>
      </c>
      <c r="T230" s="36">
        <f t="shared" si="200"/>
        <v>5808</v>
      </c>
      <c r="U230" s="36">
        <f t="shared" si="200"/>
        <v>0</v>
      </c>
      <c r="V230" s="36">
        <f t="shared" si="200"/>
        <v>0</v>
      </c>
      <c r="W230" s="36">
        <f t="shared" si="200"/>
        <v>0</v>
      </c>
      <c r="X230" s="36">
        <f t="shared" si="200"/>
        <v>0</v>
      </c>
      <c r="Y230" s="36">
        <f t="shared" si="200"/>
        <v>0</v>
      </c>
      <c r="Z230" s="36">
        <f t="shared" si="200"/>
        <v>0</v>
      </c>
      <c r="AA230" s="36">
        <f t="shared" si="200"/>
        <v>363</v>
      </c>
      <c r="AB230" s="29"/>
    </row>
    <row r="231" spans="1:28">
      <c r="A231" s="7" t="s">
        <v>309</v>
      </c>
      <c r="B231" s="34" t="s">
        <v>318</v>
      </c>
      <c r="C231" s="34" t="s">
        <v>383</v>
      </c>
      <c r="D231" s="34" t="str">
        <f t="shared" si="168"/>
        <v>L63max</v>
      </c>
      <c r="E231" s="37" t="str">
        <f t="shared" si="198"/>
        <v>通風無空調季節溫水游泳池</v>
      </c>
      <c r="F231" s="36">
        <f t="shared" si="199"/>
        <v>49.96</v>
      </c>
      <c r="G231" s="36">
        <v>80.95</v>
      </c>
      <c r="H231" s="36">
        <v>0</v>
      </c>
      <c r="I231" s="36">
        <v>0</v>
      </c>
      <c r="J231" s="36">
        <v>0</v>
      </c>
      <c r="K231" s="36">
        <v>26.99</v>
      </c>
      <c r="L231" s="36">
        <v>30.39</v>
      </c>
      <c r="M231" s="36">
        <v>31.74</v>
      </c>
      <c r="N231" s="36">
        <f t="shared" si="200"/>
        <v>10</v>
      </c>
      <c r="O231" s="36">
        <f t="shared" si="200"/>
        <v>0.1</v>
      </c>
      <c r="P231" s="36">
        <f t="shared" si="200"/>
        <v>3</v>
      </c>
      <c r="Q231" s="36">
        <f t="shared" si="200"/>
        <v>3.92</v>
      </c>
      <c r="R231" s="36">
        <f t="shared" si="200"/>
        <v>10</v>
      </c>
      <c r="S231" s="36">
        <f t="shared" si="200"/>
        <v>112</v>
      </c>
      <c r="T231" s="36">
        <f t="shared" si="200"/>
        <v>5808</v>
      </c>
      <c r="U231" s="36">
        <f t="shared" si="200"/>
        <v>0</v>
      </c>
      <c r="V231" s="36">
        <f t="shared" si="200"/>
        <v>0</v>
      </c>
      <c r="W231" s="36">
        <f t="shared" si="200"/>
        <v>0</v>
      </c>
      <c r="X231" s="36">
        <f t="shared" si="200"/>
        <v>0</v>
      </c>
      <c r="Y231" s="36">
        <f t="shared" si="200"/>
        <v>0</v>
      </c>
      <c r="Z231" s="36">
        <f t="shared" si="200"/>
        <v>0</v>
      </c>
      <c r="AA231" s="36">
        <f t="shared" si="200"/>
        <v>363</v>
      </c>
      <c r="AB231" s="29"/>
    </row>
    <row r="232" spans="1:28">
      <c r="A232" s="7" t="s">
        <v>338</v>
      </c>
      <c r="B232" s="34" t="s">
        <v>319</v>
      </c>
      <c r="C232" s="34" t="s">
        <v>381</v>
      </c>
      <c r="D232" s="34" t="str">
        <f t="shared" si="168"/>
        <v>NB1min</v>
      </c>
      <c r="E232" s="7" t="s">
        <v>348</v>
      </c>
      <c r="F232" s="36">
        <v>6</v>
      </c>
      <c r="G232" s="36">
        <v>15</v>
      </c>
      <c r="H232" s="36">
        <v>16</v>
      </c>
      <c r="I232" s="36">
        <v>16</v>
      </c>
      <c r="J232" s="36">
        <v>16</v>
      </c>
      <c r="K232" s="36">
        <v>16</v>
      </c>
      <c r="L232" s="36">
        <v>16</v>
      </c>
      <c r="M232" s="36">
        <v>16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1434</v>
      </c>
      <c r="U232" s="36">
        <v>573</v>
      </c>
      <c r="V232" s="36">
        <v>573</v>
      </c>
      <c r="W232" s="36">
        <v>573</v>
      </c>
      <c r="X232" s="36">
        <v>573</v>
      </c>
      <c r="Y232" s="36">
        <v>573</v>
      </c>
      <c r="Z232" s="36">
        <v>573</v>
      </c>
      <c r="AA232" s="36">
        <v>0</v>
      </c>
      <c r="AB232" s="29"/>
    </row>
    <row r="233" spans="1:28">
      <c r="A233" s="7" t="str">
        <f t="shared" ref="A233:B234" si="201">A232</f>
        <v>非BERS適用分區而供其他綠建築手冊引用之暫行EUI基準(無氣候分區、單一中位值基準)</v>
      </c>
      <c r="B233" s="34" t="str">
        <f t="shared" si="201"/>
        <v>NB1</v>
      </c>
      <c r="C233" s="34" t="s">
        <v>382</v>
      </c>
      <c r="D233" s="34" t="str">
        <f t="shared" si="168"/>
        <v>NB1m</v>
      </c>
      <c r="E233" s="37" t="str">
        <f t="shared" ref="E233:E234" si="202">E232</f>
        <v>國小教室(辦公區歸B3)</v>
      </c>
      <c r="F233" s="36">
        <f t="shared" ref="F233:H234" si="203">F232</f>
        <v>6</v>
      </c>
      <c r="G233" s="36">
        <f t="shared" si="203"/>
        <v>15</v>
      </c>
      <c r="H233" s="36">
        <f t="shared" si="203"/>
        <v>16</v>
      </c>
      <c r="I233" s="36">
        <f t="shared" ref="I233:I234" si="204">I232</f>
        <v>16</v>
      </c>
      <c r="J233" s="36">
        <f t="shared" ref="J233:J234" si="205">J232</f>
        <v>16</v>
      </c>
      <c r="K233" s="36">
        <f t="shared" ref="K233:K234" si="206">K232</f>
        <v>16</v>
      </c>
      <c r="L233" s="36">
        <f t="shared" ref="L233:L234" si="207">L232</f>
        <v>16</v>
      </c>
      <c r="M233" s="36">
        <f t="shared" ref="M233:M234" si="208">M232</f>
        <v>16</v>
      </c>
      <c r="N233" s="36">
        <f t="shared" ref="N233:AA234" si="209">N232</f>
        <v>0</v>
      </c>
      <c r="O233" s="36">
        <f t="shared" si="209"/>
        <v>0</v>
      </c>
      <c r="P233" s="36">
        <f t="shared" si="209"/>
        <v>0</v>
      </c>
      <c r="Q233" s="36">
        <f t="shared" si="209"/>
        <v>0</v>
      </c>
      <c r="R233" s="36">
        <f t="shared" si="209"/>
        <v>0</v>
      </c>
      <c r="S233" s="36">
        <f t="shared" si="209"/>
        <v>0</v>
      </c>
      <c r="T233" s="36">
        <f t="shared" si="209"/>
        <v>1434</v>
      </c>
      <c r="U233" s="36">
        <f t="shared" si="209"/>
        <v>573</v>
      </c>
      <c r="V233" s="36">
        <f t="shared" si="209"/>
        <v>573</v>
      </c>
      <c r="W233" s="36">
        <f t="shared" si="209"/>
        <v>573</v>
      </c>
      <c r="X233" s="36">
        <f t="shared" si="209"/>
        <v>573</v>
      </c>
      <c r="Y233" s="36">
        <f t="shared" si="209"/>
        <v>573</v>
      </c>
      <c r="Z233" s="36">
        <f t="shared" si="209"/>
        <v>573</v>
      </c>
      <c r="AA233" s="36">
        <f t="shared" si="209"/>
        <v>0</v>
      </c>
      <c r="AB233" s="29"/>
    </row>
    <row r="234" spans="1:28">
      <c r="A234" s="7" t="str">
        <f t="shared" si="201"/>
        <v>非BERS適用分區而供其他綠建築手冊引用之暫行EUI基準(無氣候分區、單一中位值基準)</v>
      </c>
      <c r="B234" s="34" t="str">
        <f t="shared" si="201"/>
        <v>NB1</v>
      </c>
      <c r="C234" s="34" t="s">
        <v>383</v>
      </c>
      <c r="D234" s="34" t="str">
        <f t="shared" si="168"/>
        <v>NB1max</v>
      </c>
      <c r="E234" s="37" t="str">
        <f t="shared" si="202"/>
        <v>國小教室(辦公區歸B3)</v>
      </c>
      <c r="F234" s="36">
        <f t="shared" si="203"/>
        <v>6</v>
      </c>
      <c r="G234" s="36">
        <f t="shared" si="203"/>
        <v>15</v>
      </c>
      <c r="H234" s="36">
        <f t="shared" si="203"/>
        <v>16</v>
      </c>
      <c r="I234" s="36">
        <f t="shared" si="204"/>
        <v>16</v>
      </c>
      <c r="J234" s="36">
        <f t="shared" si="205"/>
        <v>16</v>
      </c>
      <c r="K234" s="36">
        <f t="shared" si="206"/>
        <v>16</v>
      </c>
      <c r="L234" s="36">
        <f t="shared" si="207"/>
        <v>16</v>
      </c>
      <c r="M234" s="36">
        <f t="shared" si="208"/>
        <v>16</v>
      </c>
      <c r="N234" s="36">
        <f t="shared" si="209"/>
        <v>0</v>
      </c>
      <c r="O234" s="36">
        <f t="shared" si="209"/>
        <v>0</v>
      </c>
      <c r="P234" s="36">
        <f t="shared" si="209"/>
        <v>0</v>
      </c>
      <c r="Q234" s="36">
        <f t="shared" si="209"/>
        <v>0</v>
      </c>
      <c r="R234" s="36">
        <f t="shared" si="209"/>
        <v>0</v>
      </c>
      <c r="S234" s="36">
        <f t="shared" si="209"/>
        <v>0</v>
      </c>
      <c r="T234" s="36">
        <f t="shared" si="209"/>
        <v>1434</v>
      </c>
      <c r="U234" s="36">
        <f t="shared" si="209"/>
        <v>573</v>
      </c>
      <c r="V234" s="36">
        <f t="shared" si="209"/>
        <v>573</v>
      </c>
      <c r="W234" s="36">
        <f t="shared" si="209"/>
        <v>573</v>
      </c>
      <c r="X234" s="36">
        <f t="shared" si="209"/>
        <v>573</v>
      </c>
      <c r="Y234" s="36">
        <f t="shared" si="209"/>
        <v>573</v>
      </c>
      <c r="Z234" s="36">
        <f t="shared" si="209"/>
        <v>573</v>
      </c>
      <c r="AA234" s="36">
        <f t="shared" si="209"/>
        <v>0</v>
      </c>
      <c r="AB234" s="29"/>
    </row>
    <row r="235" spans="1:28">
      <c r="A235" s="7" t="s">
        <v>338</v>
      </c>
      <c r="B235" s="34" t="s">
        <v>320</v>
      </c>
      <c r="C235" s="34" t="s">
        <v>381</v>
      </c>
      <c r="D235" s="34" t="str">
        <f t="shared" si="168"/>
        <v>NB2min</v>
      </c>
      <c r="E235" s="7" t="s">
        <v>349</v>
      </c>
      <c r="F235" s="36">
        <v>8</v>
      </c>
      <c r="G235" s="36">
        <v>21</v>
      </c>
      <c r="H235" s="36">
        <v>21</v>
      </c>
      <c r="I235" s="36">
        <v>21</v>
      </c>
      <c r="J235" s="36">
        <v>21</v>
      </c>
      <c r="K235" s="36">
        <v>21</v>
      </c>
      <c r="L235" s="36">
        <v>21</v>
      </c>
      <c r="M235" s="36">
        <v>21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1879</v>
      </c>
      <c r="U235" s="36">
        <v>751</v>
      </c>
      <c r="V235" s="36">
        <v>751</v>
      </c>
      <c r="W235" s="36">
        <v>751</v>
      </c>
      <c r="X235" s="36">
        <v>751</v>
      </c>
      <c r="Y235" s="36">
        <v>751</v>
      </c>
      <c r="Z235" s="36">
        <v>751</v>
      </c>
      <c r="AA235" s="36">
        <v>0</v>
      </c>
      <c r="AB235" s="29"/>
    </row>
    <row r="236" spans="1:28">
      <c r="A236" s="7" t="str">
        <f t="shared" ref="A236:B237" si="210">A235</f>
        <v>非BERS適用分區而供其他綠建築手冊引用之暫行EUI基準(無氣候分區、單一中位值基準)</v>
      </c>
      <c r="B236" s="34" t="str">
        <f t="shared" si="210"/>
        <v>NB2</v>
      </c>
      <c r="C236" s="34" t="s">
        <v>382</v>
      </c>
      <c r="D236" s="34" t="str">
        <f t="shared" si="168"/>
        <v>NB2m</v>
      </c>
      <c r="E236" s="37" t="str">
        <f t="shared" ref="E236:E237" si="211">E235</f>
        <v>國中教室(辦公區歸B3)</v>
      </c>
      <c r="F236" s="36">
        <f t="shared" ref="F236:H237" si="212">F235</f>
        <v>8</v>
      </c>
      <c r="G236" s="36">
        <f t="shared" si="212"/>
        <v>21</v>
      </c>
      <c r="H236" s="36">
        <f t="shared" si="212"/>
        <v>21</v>
      </c>
      <c r="I236" s="36">
        <f t="shared" ref="I236:I237" si="213">I235</f>
        <v>21</v>
      </c>
      <c r="J236" s="36">
        <f t="shared" ref="J236:J237" si="214">J235</f>
        <v>21</v>
      </c>
      <c r="K236" s="36">
        <f t="shared" ref="K236:K237" si="215">K235</f>
        <v>21</v>
      </c>
      <c r="L236" s="36">
        <f t="shared" ref="L236:L237" si="216">L235</f>
        <v>21</v>
      </c>
      <c r="M236" s="36">
        <f t="shared" ref="M236:M237" si="217">M235</f>
        <v>21</v>
      </c>
      <c r="N236" s="36">
        <f t="shared" ref="N236:AA237" si="218">N235</f>
        <v>0</v>
      </c>
      <c r="O236" s="36">
        <f t="shared" si="218"/>
        <v>0</v>
      </c>
      <c r="P236" s="36">
        <f t="shared" si="218"/>
        <v>0</v>
      </c>
      <c r="Q236" s="36">
        <f t="shared" si="218"/>
        <v>0</v>
      </c>
      <c r="R236" s="36">
        <f t="shared" si="218"/>
        <v>0</v>
      </c>
      <c r="S236" s="36">
        <f t="shared" si="218"/>
        <v>0</v>
      </c>
      <c r="T236" s="36">
        <f t="shared" si="218"/>
        <v>1879</v>
      </c>
      <c r="U236" s="36">
        <f t="shared" si="218"/>
        <v>751</v>
      </c>
      <c r="V236" s="36">
        <f t="shared" si="218"/>
        <v>751</v>
      </c>
      <c r="W236" s="36">
        <f t="shared" si="218"/>
        <v>751</v>
      </c>
      <c r="X236" s="36">
        <f t="shared" si="218"/>
        <v>751</v>
      </c>
      <c r="Y236" s="36">
        <f t="shared" si="218"/>
        <v>751</v>
      </c>
      <c r="Z236" s="36">
        <f t="shared" si="218"/>
        <v>751</v>
      </c>
      <c r="AA236" s="36">
        <f t="shared" si="218"/>
        <v>0</v>
      </c>
      <c r="AB236" s="29"/>
    </row>
    <row r="237" spans="1:28">
      <c r="A237" s="7" t="str">
        <f t="shared" si="210"/>
        <v>非BERS適用分區而供其他綠建築手冊引用之暫行EUI基準(無氣候分區、單一中位值基準)</v>
      </c>
      <c r="B237" s="34" t="str">
        <f t="shared" si="210"/>
        <v>NB2</v>
      </c>
      <c r="C237" s="34" t="s">
        <v>383</v>
      </c>
      <c r="D237" s="34" t="str">
        <f t="shared" si="168"/>
        <v>NB2max</v>
      </c>
      <c r="E237" s="37" t="str">
        <f t="shared" si="211"/>
        <v>國中教室(辦公區歸B3)</v>
      </c>
      <c r="F237" s="36">
        <f t="shared" si="212"/>
        <v>8</v>
      </c>
      <c r="G237" s="36">
        <f t="shared" si="212"/>
        <v>21</v>
      </c>
      <c r="H237" s="36">
        <f t="shared" si="212"/>
        <v>21</v>
      </c>
      <c r="I237" s="36">
        <f t="shared" si="213"/>
        <v>21</v>
      </c>
      <c r="J237" s="36">
        <f t="shared" si="214"/>
        <v>21</v>
      </c>
      <c r="K237" s="36">
        <f t="shared" si="215"/>
        <v>21</v>
      </c>
      <c r="L237" s="36">
        <f t="shared" si="216"/>
        <v>21</v>
      </c>
      <c r="M237" s="36">
        <f t="shared" si="217"/>
        <v>21</v>
      </c>
      <c r="N237" s="36">
        <f t="shared" si="218"/>
        <v>0</v>
      </c>
      <c r="O237" s="36">
        <f t="shared" si="218"/>
        <v>0</v>
      </c>
      <c r="P237" s="36">
        <f t="shared" si="218"/>
        <v>0</v>
      </c>
      <c r="Q237" s="36">
        <f t="shared" si="218"/>
        <v>0</v>
      </c>
      <c r="R237" s="36">
        <f t="shared" si="218"/>
        <v>0</v>
      </c>
      <c r="S237" s="36">
        <f t="shared" si="218"/>
        <v>0</v>
      </c>
      <c r="T237" s="36">
        <f t="shared" si="218"/>
        <v>1879</v>
      </c>
      <c r="U237" s="36">
        <f t="shared" si="218"/>
        <v>751</v>
      </c>
      <c r="V237" s="36">
        <f t="shared" si="218"/>
        <v>751</v>
      </c>
      <c r="W237" s="36">
        <f t="shared" si="218"/>
        <v>751</v>
      </c>
      <c r="X237" s="36">
        <f t="shared" si="218"/>
        <v>751</v>
      </c>
      <c r="Y237" s="36">
        <f t="shared" si="218"/>
        <v>751</v>
      </c>
      <c r="Z237" s="36">
        <f t="shared" si="218"/>
        <v>751</v>
      </c>
      <c r="AA237" s="36">
        <f t="shared" si="218"/>
        <v>0</v>
      </c>
      <c r="AB237" s="29"/>
    </row>
    <row r="238" spans="1:28">
      <c r="A238" s="7" t="s">
        <v>338</v>
      </c>
      <c r="B238" s="34" t="s">
        <v>321</v>
      </c>
      <c r="C238" s="34" t="s">
        <v>381</v>
      </c>
      <c r="D238" s="34" t="str">
        <f t="shared" si="168"/>
        <v>NB3min</v>
      </c>
      <c r="E238" s="7" t="s">
        <v>350</v>
      </c>
      <c r="F238" s="36">
        <v>9</v>
      </c>
      <c r="G238" s="36">
        <v>22</v>
      </c>
      <c r="H238" s="36">
        <v>23</v>
      </c>
      <c r="I238" s="36">
        <v>23</v>
      </c>
      <c r="J238" s="36">
        <v>23</v>
      </c>
      <c r="K238" s="36">
        <v>23</v>
      </c>
      <c r="L238" s="36">
        <v>23</v>
      </c>
      <c r="M238" s="36">
        <v>23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2020</v>
      </c>
      <c r="U238" s="36">
        <v>808</v>
      </c>
      <c r="V238" s="36">
        <v>808</v>
      </c>
      <c r="W238" s="36">
        <v>808</v>
      </c>
      <c r="X238" s="36">
        <v>808</v>
      </c>
      <c r="Y238" s="36">
        <v>808</v>
      </c>
      <c r="Z238" s="36">
        <v>808</v>
      </c>
      <c r="AA238" s="36">
        <v>0</v>
      </c>
      <c r="AB238" s="29"/>
    </row>
    <row r="239" spans="1:28">
      <c r="A239" s="7" t="str">
        <f t="shared" ref="A239:B240" si="219">A238</f>
        <v>非BERS適用分區而供其他綠建築手冊引用之暫行EUI基準(無氣候分區、單一中位值基準)</v>
      </c>
      <c r="B239" s="34" t="str">
        <f t="shared" si="219"/>
        <v>NB3</v>
      </c>
      <c r="C239" s="34" t="s">
        <v>382</v>
      </c>
      <c r="D239" s="34" t="str">
        <f t="shared" si="168"/>
        <v>NB3m</v>
      </c>
      <c r="E239" s="37" t="str">
        <f t="shared" ref="E239:E240" si="220">E238</f>
        <v>高中職、大專教室、教師研究室 (辦公區歸B3)</v>
      </c>
      <c r="F239" s="36">
        <f t="shared" ref="F239:H240" si="221">F238</f>
        <v>9</v>
      </c>
      <c r="G239" s="36">
        <f t="shared" si="221"/>
        <v>22</v>
      </c>
      <c r="H239" s="36">
        <f t="shared" si="221"/>
        <v>23</v>
      </c>
      <c r="I239" s="36">
        <f t="shared" ref="I239:I240" si="222">I238</f>
        <v>23</v>
      </c>
      <c r="J239" s="36">
        <f t="shared" ref="J239:J240" si="223">J238</f>
        <v>23</v>
      </c>
      <c r="K239" s="36">
        <f t="shared" ref="K239:K240" si="224">K238</f>
        <v>23</v>
      </c>
      <c r="L239" s="36">
        <f t="shared" ref="L239:L240" si="225">L238</f>
        <v>23</v>
      </c>
      <c r="M239" s="36">
        <f t="shared" ref="M239:M240" si="226">M238</f>
        <v>23</v>
      </c>
      <c r="N239" s="36">
        <f t="shared" ref="N239:AA240" si="227">N238</f>
        <v>0</v>
      </c>
      <c r="O239" s="36">
        <f t="shared" si="227"/>
        <v>0</v>
      </c>
      <c r="P239" s="36">
        <f t="shared" si="227"/>
        <v>0</v>
      </c>
      <c r="Q239" s="36">
        <f t="shared" si="227"/>
        <v>0</v>
      </c>
      <c r="R239" s="36">
        <f t="shared" si="227"/>
        <v>0</v>
      </c>
      <c r="S239" s="36">
        <f t="shared" si="227"/>
        <v>0</v>
      </c>
      <c r="T239" s="36">
        <f t="shared" si="227"/>
        <v>2020</v>
      </c>
      <c r="U239" s="36">
        <f t="shared" si="227"/>
        <v>808</v>
      </c>
      <c r="V239" s="36">
        <f t="shared" si="227"/>
        <v>808</v>
      </c>
      <c r="W239" s="36">
        <f t="shared" si="227"/>
        <v>808</v>
      </c>
      <c r="X239" s="36">
        <f t="shared" si="227"/>
        <v>808</v>
      </c>
      <c r="Y239" s="36">
        <f t="shared" si="227"/>
        <v>808</v>
      </c>
      <c r="Z239" s="36">
        <f t="shared" si="227"/>
        <v>808</v>
      </c>
      <c r="AA239" s="36">
        <f t="shared" si="227"/>
        <v>0</v>
      </c>
      <c r="AB239" s="29"/>
    </row>
    <row r="240" spans="1:28">
      <c r="A240" s="7" t="str">
        <f t="shared" si="219"/>
        <v>非BERS適用分區而供其他綠建築手冊引用之暫行EUI基準(無氣候分區、單一中位值基準)</v>
      </c>
      <c r="B240" s="34" t="str">
        <f t="shared" si="219"/>
        <v>NB3</v>
      </c>
      <c r="C240" s="34" t="s">
        <v>383</v>
      </c>
      <c r="D240" s="34" t="str">
        <f t="shared" si="168"/>
        <v>NB3max</v>
      </c>
      <c r="E240" s="37" t="str">
        <f t="shared" si="220"/>
        <v>高中職、大專教室、教師研究室 (辦公區歸B3)</v>
      </c>
      <c r="F240" s="36">
        <f t="shared" si="221"/>
        <v>9</v>
      </c>
      <c r="G240" s="36">
        <f t="shared" si="221"/>
        <v>22</v>
      </c>
      <c r="H240" s="36">
        <f t="shared" si="221"/>
        <v>23</v>
      </c>
      <c r="I240" s="36">
        <f t="shared" si="222"/>
        <v>23</v>
      </c>
      <c r="J240" s="36">
        <f t="shared" si="223"/>
        <v>23</v>
      </c>
      <c r="K240" s="36">
        <f t="shared" si="224"/>
        <v>23</v>
      </c>
      <c r="L240" s="36">
        <f t="shared" si="225"/>
        <v>23</v>
      </c>
      <c r="M240" s="36">
        <f t="shared" si="226"/>
        <v>23</v>
      </c>
      <c r="N240" s="36">
        <f t="shared" si="227"/>
        <v>0</v>
      </c>
      <c r="O240" s="36">
        <f t="shared" si="227"/>
        <v>0</v>
      </c>
      <c r="P240" s="36">
        <f t="shared" si="227"/>
        <v>0</v>
      </c>
      <c r="Q240" s="36">
        <f t="shared" si="227"/>
        <v>0</v>
      </c>
      <c r="R240" s="36">
        <f t="shared" si="227"/>
        <v>0</v>
      </c>
      <c r="S240" s="36">
        <f t="shared" si="227"/>
        <v>0</v>
      </c>
      <c r="T240" s="36">
        <f t="shared" si="227"/>
        <v>2020</v>
      </c>
      <c r="U240" s="36">
        <f t="shared" si="227"/>
        <v>808</v>
      </c>
      <c r="V240" s="36">
        <f t="shared" si="227"/>
        <v>808</v>
      </c>
      <c r="W240" s="36">
        <f t="shared" si="227"/>
        <v>808</v>
      </c>
      <c r="X240" s="36">
        <f t="shared" si="227"/>
        <v>808</v>
      </c>
      <c r="Y240" s="36">
        <f t="shared" si="227"/>
        <v>808</v>
      </c>
      <c r="Z240" s="36">
        <f t="shared" si="227"/>
        <v>808</v>
      </c>
      <c r="AA240" s="36">
        <f t="shared" si="227"/>
        <v>0</v>
      </c>
      <c r="AB240" s="29"/>
    </row>
    <row r="241" spans="1:28">
      <c r="A241" s="7" t="s">
        <v>338</v>
      </c>
      <c r="B241" s="34" t="s">
        <v>322</v>
      </c>
      <c r="C241" s="34" t="s">
        <v>381</v>
      </c>
      <c r="D241" s="34" t="str">
        <f t="shared" si="168"/>
        <v>NB4min</v>
      </c>
      <c r="E241" s="43" t="s">
        <v>351</v>
      </c>
      <c r="F241" s="36">
        <v>29</v>
      </c>
      <c r="G241" s="36">
        <v>52</v>
      </c>
      <c r="H241" s="36">
        <v>65</v>
      </c>
      <c r="I241" s="36">
        <v>65</v>
      </c>
      <c r="J241" s="36">
        <v>65</v>
      </c>
      <c r="K241" s="36">
        <v>65</v>
      </c>
      <c r="L241" s="36">
        <v>65</v>
      </c>
      <c r="M241" s="36">
        <v>65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2540</v>
      </c>
      <c r="U241" s="36">
        <v>2540</v>
      </c>
      <c r="V241" s="36">
        <v>2540</v>
      </c>
      <c r="W241" s="36">
        <v>2540</v>
      </c>
      <c r="X241" s="36">
        <v>2540</v>
      </c>
      <c r="Y241" s="36">
        <v>2540</v>
      </c>
      <c r="Z241" s="36">
        <v>2540</v>
      </c>
      <c r="AA241" s="36">
        <v>0</v>
      </c>
      <c r="AB241" s="29"/>
    </row>
    <row r="242" spans="1:28">
      <c r="A242" s="7" t="str">
        <f t="shared" ref="A242:B243" si="228">A241</f>
        <v>非BERS適用分區而供其他綠建築手冊引用之暫行EUI基準(無氣候分區、單一中位值基準)</v>
      </c>
      <c r="B242" s="34" t="str">
        <f t="shared" si="228"/>
        <v>NB4</v>
      </c>
      <c r="C242" s="34" t="s">
        <v>382</v>
      </c>
      <c r="D242" s="34" t="str">
        <f t="shared" si="168"/>
        <v>NB4m</v>
      </c>
      <c r="E242" s="37" t="str">
        <f t="shared" ref="E242:E243" si="229">E241</f>
        <v>究機構實驗室</v>
      </c>
      <c r="F242" s="36">
        <f t="shared" ref="F242:H243" si="230">F241</f>
        <v>29</v>
      </c>
      <c r="G242" s="36">
        <f t="shared" si="230"/>
        <v>52</v>
      </c>
      <c r="H242" s="36">
        <f t="shared" si="230"/>
        <v>65</v>
      </c>
      <c r="I242" s="36">
        <f t="shared" ref="I242:I243" si="231">I241</f>
        <v>65</v>
      </c>
      <c r="J242" s="36">
        <f t="shared" ref="J242:J243" si="232">J241</f>
        <v>65</v>
      </c>
      <c r="K242" s="36">
        <f t="shared" ref="K242:K243" si="233">K241</f>
        <v>65</v>
      </c>
      <c r="L242" s="36">
        <f t="shared" ref="L242:L243" si="234">L241</f>
        <v>65</v>
      </c>
      <c r="M242" s="36">
        <f t="shared" ref="M242:M243" si="235">M241</f>
        <v>65</v>
      </c>
      <c r="N242" s="36">
        <f t="shared" ref="N242:AA243" si="236">N241</f>
        <v>0</v>
      </c>
      <c r="O242" s="36">
        <f t="shared" si="236"/>
        <v>0</v>
      </c>
      <c r="P242" s="36">
        <f t="shared" si="236"/>
        <v>0</v>
      </c>
      <c r="Q242" s="36">
        <f t="shared" si="236"/>
        <v>0</v>
      </c>
      <c r="R242" s="36">
        <f t="shared" si="236"/>
        <v>0</v>
      </c>
      <c r="S242" s="36">
        <f t="shared" si="236"/>
        <v>0</v>
      </c>
      <c r="T242" s="36">
        <f t="shared" si="236"/>
        <v>2540</v>
      </c>
      <c r="U242" s="36">
        <f t="shared" si="236"/>
        <v>2540</v>
      </c>
      <c r="V242" s="36">
        <f t="shared" si="236"/>
        <v>2540</v>
      </c>
      <c r="W242" s="36">
        <f t="shared" si="236"/>
        <v>2540</v>
      </c>
      <c r="X242" s="36">
        <f t="shared" si="236"/>
        <v>2540</v>
      </c>
      <c r="Y242" s="36">
        <f t="shared" si="236"/>
        <v>2540</v>
      </c>
      <c r="Z242" s="36">
        <f t="shared" si="236"/>
        <v>2540</v>
      </c>
      <c r="AA242" s="36">
        <f t="shared" si="236"/>
        <v>0</v>
      </c>
      <c r="AB242" s="29"/>
    </row>
    <row r="243" spans="1:28">
      <c r="A243" s="7" t="str">
        <f t="shared" si="228"/>
        <v>非BERS適用分區而供其他綠建築手冊引用之暫行EUI基準(無氣候分區、單一中位值基準)</v>
      </c>
      <c r="B243" s="34" t="str">
        <f t="shared" si="228"/>
        <v>NB4</v>
      </c>
      <c r="C243" s="34" t="s">
        <v>383</v>
      </c>
      <c r="D243" s="34" t="str">
        <f t="shared" si="168"/>
        <v>NB4max</v>
      </c>
      <c r="E243" s="37" t="str">
        <f t="shared" si="229"/>
        <v>究機構實驗室</v>
      </c>
      <c r="F243" s="36">
        <f t="shared" si="230"/>
        <v>29</v>
      </c>
      <c r="G243" s="36">
        <f t="shared" si="230"/>
        <v>52</v>
      </c>
      <c r="H243" s="36">
        <f t="shared" si="230"/>
        <v>65</v>
      </c>
      <c r="I243" s="36">
        <f t="shared" si="231"/>
        <v>65</v>
      </c>
      <c r="J243" s="36">
        <f t="shared" si="232"/>
        <v>65</v>
      </c>
      <c r="K243" s="36">
        <f t="shared" si="233"/>
        <v>65</v>
      </c>
      <c r="L243" s="36">
        <f t="shared" si="234"/>
        <v>65</v>
      </c>
      <c r="M243" s="36">
        <f t="shared" si="235"/>
        <v>65</v>
      </c>
      <c r="N243" s="36">
        <f t="shared" si="236"/>
        <v>0</v>
      </c>
      <c r="O243" s="36">
        <f t="shared" si="236"/>
        <v>0</v>
      </c>
      <c r="P243" s="36">
        <f t="shared" si="236"/>
        <v>0</v>
      </c>
      <c r="Q243" s="36">
        <f t="shared" si="236"/>
        <v>0</v>
      </c>
      <c r="R243" s="36">
        <f t="shared" si="236"/>
        <v>0</v>
      </c>
      <c r="S243" s="36">
        <f t="shared" si="236"/>
        <v>0</v>
      </c>
      <c r="T243" s="36">
        <f t="shared" si="236"/>
        <v>2540</v>
      </c>
      <c r="U243" s="36">
        <f t="shared" si="236"/>
        <v>2540</v>
      </c>
      <c r="V243" s="36">
        <f t="shared" si="236"/>
        <v>2540</v>
      </c>
      <c r="W243" s="36">
        <f t="shared" si="236"/>
        <v>2540</v>
      </c>
      <c r="X243" s="36">
        <f t="shared" si="236"/>
        <v>2540</v>
      </c>
      <c r="Y243" s="36">
        <f t="shared" si="236"/>
        <v>2540</v>
      </c>
      <c r="Z243" s="36">
        <f t="shared" si="236"/>
        <v>2540</v>
      </c>
      <c r="AA243" s="36">
        <f t="shared" si="236"/>
        <v>0</v>
      </c>
      <c r="AB243" s="29"/>
    </row>
    <row r="244" spans="1:28">
      <c r="A244" s="7" t="s">
        <v>338</v>
      </c>
      <c r="B244" s="34" t="s">
        <v>323</v>
      </c>
      <c r="C244" s="34" t="s">
        <v>381</v>
      </c>
      <c r="D244" s="34" t="str">
        <f t="shared" si="168"/>
        <v>NB5min</v>
      </c>
      <c r="E244" s="7" t="s">
        <v>352</v>
      </c>
      <c r="F244" s="36">
        <v>16</v>
      </c>
      <c r="G244" s="36">
        <v>33</v>
      </c>
      <c r="H244" s="36">
        <v>119</v>
      </c>
      <c r="I244" s="36">
        <v>119</v>
      </c>
      <c r="J244" s="36">
        <v>119</v>
      </c>
      <c r="K244" s="36">
        <v>119</v>
      </c>
      <c r="L244" s="36">
        <v>119</v>
      </c>
      <c r="M244" s="36">
        <v>119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4380</v>
      </c>
      <c r="U244" s="36">
        <v>4380</v>
      </c>
      <c r="V244" s="36">
        <v>4380</v>
      </c>
      <c r="W244" s="36">
        <v>4380</v>
      </c>
      <c r="X244" s="36">
        <v>4380</v>
      </c>
      <c r="Y244" s="36">
        <v>4380</v>
      </c>
      <c r="Z244" s="36">
        <v>4380</v>
      </c>
      <c r="AA244" s="36">
        <v>0</v>
      </c>
      <c r="AB244" s="29"/>
    </row>
    <row r="245" spans="1:28">
      <c r="A245" s="7" t="str">
        <f t="shared" ref="A245:B246" si="237">A244</f>
        <v>非BERS適用分區而供其他綠建築手冊引用之暫行EUI基準(無氣候分區、單一中位值基準)</v>
      </c>
      <c r="B245" s="34" t="str">
        <f t="shared" si="237"/>
        <v>NB5</v>
      </c>
      <c r="C245" s="34" t="s">
        <v>382</v>
      </c>
      <c r="D245" s="34" t="str">
        <f t="shared" si="168"/>
        <v>NB5m</v>
      </c>
      <c r="E245" s="7" t="str">
        <f t="shared" ref="E245:E246" si="238">E244</f>
        <v>室內體育館(A-1)</v>
      </c>
      <c r="F245" s="36">
        <f t="shared" ref="F245:H246" si="239">F244</f>
        <v>16</v>
      </c>
      <c r="G245" s="36">
        <f t="shared" si="239"/>
        <v>33</v>
      </c>
      <c r="H245" s="36">
        <f t="shared" si="239"/>
        <v>119</v>
      </c>
      <c r="I245" s="36">
        <f t="shared" ref="I245:I246" si="240">I244</f>
        <v>119</v>
      </c>
      <c r="J245" s="36">
        <f t="shared" ref="J245:J246" si="241">J244</f>
        <v>119</v>
      </c>
      <c r="K245" s="36">
        <f t="shared" ref="K245:K246" si="242">K244</f>
        <v>119</v>
      </c>
      <c r="L245" s="36">
        <f t="shared" ref="L245:L246" si="243">L244</f>
        <v>119</v>
      </c>
      <c r="M245" s="36">
        <f t="shared" ref="M245:M246" si="244">M244</f>
        <v>119</v>
      </c>
      <c r="N245" s="36">
        <f t="shared" ref="N245:AA246" si="245">N244</f>
        <v>0</v>
      </c>
      <c r="O245" s="36">
        <f t="shared" si="245"/>
        <v>0</v>
      </c>
      <c r="P245" s="36">
        <f t="shared" si="245"/>
        <v>0</v>
      </c>
      <c r="Q245" s="36">
        <f t="shared" si="245"/>
        <v>0</v>
      </c>
      <c r="R245" s="36">
        <f t="shared" si="245"/>
        <v>0</v>
      </c>
      <c r="S245" s="36">
        <f t="shared" si="245"/>
        <v>0</v>
      </c>
      <c r="T245" s="36">
        <f t="shared" si="245"/>
        <v>4380</v>
      </c>
      <c r="U245" s="36">
        <f t="shared" si="245"/>
        <v>4380</v>
      </c>
      <c r="V245" s="36">
        <f t="shared" si="245"/>
        <v>4380</v>
      </c>
      <c r="W245" s="36">
        <f t="shared" si="245"/>
        <v>4380</v>
      </c>
      <c r="X245" s="36">
        <f t="shared" si="245"/>
        <v>4380</v>
      </c>
      <c r="Y245" s="36">
        <f t="shared" si="245"/>
        <v>4380</v>
      </c>
      <c r="Z245" s="36">
        <f t="shared" si="245"/>
        <v>4380</v>
      </c>
      <c r="AA245" s="36">
        <f t="shared" si="245"/>
        <v>0</v>
      </c>
      <c r="AB245" s="29"/>
    </row>
    <row r="246" spans="1:28">
      <c r="A246" s="7" t="str">
        <f t="shared" si="237"/>
        <v>非BERS適用分區而供其他綠建築手冊引用之暫行EUI基準(無氣候分區、單一中位值基準)</v>
      </c>
      <c r="B246" s="34" t="str">
        <f t="shared" si="237"/>
        <v>NB5</v>
      </c>
      <c r="C246" s="34" t="s">
        <v>383</v>
      </c>
      <c r="D246" s="34" t="str">
        <f t="shared" si="168"/>
        <v>NB5max</v>
      </c>
      <c r="E246" s="37" t="str">
        <f t="shared" si="238"/>
        <v>室內體育館(A-1)</v>
      </c>
      <c r="F246" s="36">
        <f t="shared" si="239"/>
        <v>16</v>
      </c>
      <c r="G246" s="36">
        <f t="shared" si="239"/>
        <v>33</v>
      </c>
      <c r="H246" s="36">
        <f t="shared" si="239"/>
        <v>119</v>
      </c>
      <c r="I246" s="36">
        <f t="shared" si="240"/>
        <v>119</v>
      </c>
      <c r="J246" s="36">
        <f t="shared" si="241"/>
        <v>119</v>
      </c>
      <c r="K246" s="36">
        <f t="shared" si="242"/>
        <v>119</v>
      </c>
      <c r="L246" s="36">
        <f t="shared" si="243"/>
        <v>119</v>
      </c>
      <c r="M246" s="36">
        <f t="shared" si="244"/>
        <v>119</v>
      </c>
      <c r="N246" s="36">
        <f t="shared" si="245"/>
        <v>0</v>
      </c>
      <c r="O246" s="36">
        <f t="shared" si="245"/>
        <v>0</v>
      </c>
      <c r="P246" s="36">
        <f t="shared" si="245"/>
        <v>0</v>
      </c>
      <c r="Q246" s="36">
        <f t="shared" si="245"/>
        <v>0</v>
      </c>
      <c r="R246" s="36">
        <f t="shared" si="245"/>
        <v>0</v>
      </c>
      <c r="S246" s="36">
        <f t="shared" si="245"/>
        <v>0</v>
      </c>
      <c r="T246" s="36">
        <f t="shared" si="245"/>
        <v>4380</v>
      </c>
      <c r="U246" s="36">
        <f t="shared" si="245"/>
        <v>4380</v>
      </c>
      <c r="V246" s="36">
        <f t="shared" si="245"/>
        <v>4380</v>
      </c>
      <c r="W246" s="36">
        <f t="shared" si="245"/>
        <v>4380</v>
      </c>
      <c r="X246" s="36">
        <f t="shared" si="245"/>
        <v>4380</v>
      </c>
      <c r="Y246" s="36">
        <f t="shared" si="245"/>
        <v>4380</v>
      </c>
      <c r="Z246" s="36">
        <f t="shared" si="245"/>
        <v>4380</v>
      </c>
      <c r="AA246" s="36">
        <f t="shared" si="245"/>
        <v>0</v>
      </c>
      <c r="AB246" s="29"/>
    </row>
    <row r="247" spans="1:28">
      <c r="A247" s="7" t="s">
        <v>338</v>
      </c>
      <c r="B247" s="34" t="s">
        <v>324</v>
      </c>
      <c r="C247" s="34" t="s">
        <v>381</v>
      </c>
      <c r="D247" s="34" t="str">
        <f t="shared" si="168"/>
        <v>NB6min</v>
      </c>
      <c r="E247" s="7" t="s">
        <v>353</v>
      </c>
      <c r="F247" s="36">
        <v>19</v>
      </c>
      <c r="G247" s="36">
        <v>94</v>
      </c>
      <c r="H247" s="36">
        <v>207</v>
      </c>
      <c r="I247" s="36">
        <v>207</v>
      </c>
      <c r="J247" s="36">
        <v>207</v>
      </c>
      <c r="K247" s="36">
        <v>207</v>
      </c>
      <c r="L247" s="36">
        <v>207</v>
      </c>
      <c r="M247" s="36">
        <v>207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6570</v>
      </c>
      <c r="U247" s="36">
        <v>6570</v>
      </c>
      <c r="V247" s="36">
        <v>6570</v>
      </c>
      <c r="W247" s="36">
        <v>6570</v>
      </c>
      <c r="X247" s="36">
        <v>6570</v>
      </c>
      <c r="Y247" s="36">
        <v>6570</v>
      </c>
      <c r="Z247" s="36">
        <v>6570</v>
      </c>
      <c r="AA247" s="36">
        <v>0</v>
      </c>
      <c r="AB247" s="29"/>
    </row>
    <row r="248" spans="1:28">
      <c r="A248" s="7" t="str">
        <f t="shared" ref="A248:B249" si="246">A247</f>
        <v>非BERS適用分區而供其他綠建築手冊引用之暫行EUI基準(無氣候分區、單一中位值基準)</v>
      </c>
      <c r="B248" s="34" t="str">
        <f t="shared" si="246"/>
        <v>NB6</v>
      </c>
      <c r="C248" s="34" t="s">
        <v>382</v>
      </c>
      <c r="D248" s="34" t="str">
        <f t="shared" si="168"/>
        <v>NB6m</v>
      </c>
      <c r="E248" s="37" t="str">
        <f t="shared" ref="E248:E249" si="247">E247</f>
        <v>車站、轉運站、航站業務大 (A-2)</v>
      </c>
      <c r="F248" s="36">
        <f t="shared" ref="F248:H249" si="248">F247</f>
        <v>19</v>
      </c>
      <c r="G248" s="36">
        <f t="shared" si="248"/>
        <v>94</v>
      </c>
      <c r="H248" s="36">
        <f t="shared" si="248"/>
        <v>207</v>
      </c>
      <c r="I248" s="36">
        <f t="shared" ref="I248:I249" si="249">I247</f>
        <v>207</v>
      </c>
      <c r="J248" s="36">
        <f t="shared" ref="J248:J249" si="250">J247</f>
        <v>207</v>
      </c>
      <c r="K248" s="36">
        <f t="shared" ref="K248:K249" si="251">K247</f>
        <v>207</v>
      </c>
      <c r="L248" s="36">
        <f t="shared" ref="L248:L249" si="252">L247</f>
        <v>207</v>
      </c>
      <c r="M248" s="36">
        <f t="shared" ref="M248:M249" si="253">M247</f>
        <v>207</v>
      </c>
      <c r="N248" s="36">
        <f t="shared" ref="N248:AA249" si="254">N247</f>
        <v>0</v>
      </c>
      <c r="O248" s="36">
        <f t="shared" si="254"/>
        <v>0</v>
      </c>
      <c r="P248" s="36">
        <f t="shared" si="254"/>
        <v>0</v>
      </c>
      <c r="Q248" s="36">
        <f t="shared" si="254"/>
        <v>0</v>
      </c>
      <c r="R248" s="36">
        <f t="shared" si="254"/>
        <v>0</v>
      </c>
      <c r="S248" s="36">
        <f t="shared" si="254"/>
        <v>0</v>
      </c>
      <c r="T248" s="36">
        <f t="shared" si="254"/>
        <v>6570</v>
      </c>
      <c r="U248" s="36">
        <f t="shared" si="254"/>
        <v>6570</v>
      </c>
      <c r="V248" s="36">
        <f t="shared" si="254"/>
        <v>6570</v>
      </c>
      <c r="W248" s="36">
        <f t="shared" si="254"/>
        <v>6570</v>
      </c>
      <c r="X248" s="36">
        <f t="shared" si="254"/>
        <v>6570</v>
      </c>
      <c r="Y248" s="36">
        <f t="shared" si="254"/>
        <v>6570</v>
      </c>
      <c r="Z248" s="36">
        <f t="shared" si="254"/>
        <v>6570</v>
      </c>
      <c r="AA248" s="36">
        <f t="shared" si="254"/>
        <v>0</v>
      </c>
      <c r="AB248" s="29"/>
    </row>
    <row r="249" spans="1:28">
      <c r="A249" s="7" t="str">
        <f t="shared" si="246"/>
        <v>非BERS適用分區而供其他綠建築手冊引用之暫行EUI基準(無氣候分區、單一中位值基準)</v>
      </c>
      <c r="B249" s="34" t="str">
        <f t="shared" si="246"/>
        <v>NB6</v>
      </c>
      <c r="C249" s="34" t="s">
        <v>383</v>
      </c>
      <c r="D249" s="34" t="str">
        <f t="shared" si="168"/>
        <v>NB6max</v>
      </c>
      <c r="E249" s="37" t="str">
        <f t="shared" si="247"/>
        <v>車站、轉運站、航站業務大 (A-2)</v>
      </c>
      <c r="F249" s="36">
        <f t="shared" si="248"/>
        <v>19</v>
      </c>
      <c r="G249" s="36">
        <f t="shared" si="248"/>
        <v>94</v>
      </c>
      <c r="H249" s="36">
        <f t="shared" si="248"/>
        <v>207</v>
      </c>
      <c r="I249" s="36">
        <f t="shared" si="249"/>
        <v>207</v>
      </c>
      <c r="J249" s="36">
        <f t="shared" si="250"/>
        <v>207</v>
      </c>
      <c r="K249" s="36">
        <f t="shared" si="251"/>
        <v>207</v>
      </c>
      <c r="L249" s="36">
        <f t="shared" si="252"/>
        <v>207</v>
      </c>
      <c r="M249" s="36">
        <f t="shared" si="253"/>
        <v>207</v>
      </c>
      <c r="N249" s="36">
        <f t="shared" si="254"/>
        <v>0</v>
      </c>
      <c r="O249" s="36">
        <f t="shared" si="254"/>
        <v>0</v>
      </c>
      <c r="P249" s="36">
        <f t="shared" si="254"/>
        <v>0</v>
      </c>
      <c r="Q249" s="36">
        <f t="shared" si="254"/>
        <v>0</v>
      </c>
      <c r="R249" s="36">
        <f t="shared" si="254"/>
        <v>0</v>
      </c>
      <c r="S249" s="36">
        <f t="shared" si="254"/>
        <v>0</v>
      </c>
      <c r="T249" s="36">
        <f t="shared" si="254"/>
        <v>6570</v>
      </c>
      <c r="U249" s="36">
        <f t="shared" si="254"/>
        <v>6570</v>
      </c>
      <c r="V249" s="36">
        <f t="shared" si="254"/>
        <v>6570</v>
      </c>
      <c r="W249" s="36">
        <f t="shared" si="254"/>
        <v>6570</v>
      </c>
      <c r="X249" s="36">
        <f t="shared" si="254"/>
        <v>6570</v>
      </c>
      <c r="Y249" s="36">
        <f t="shared" si="254"/>
        <v>6570</v>
      </c>
      <c r="Z249" s="36">
        <f t="shared" si="254"/>
        <v>6570</v>
      </c>
      <c r="AA249" s="36">
        <f t="shared" si="254"/>
        <v>0</v>
      </c>
      <c r="AB249" s="29"/>
    </row>
    <row r="250" spans="1:28">
      <c r="A250" s="7" t="s">
        <v>338</v>
      </c>
      <c r="B250" s="34" t="s">
        <v>325</v>
      </c>
      <c r="C250" s="34" t="s">
        <v>381</v>
      </c>
      <c r="D250" s="34" t="str">
        <f t="shared" si="168"/>
        <v>NB7min</v>
      </c>
      <c r="E250" s="44" t="s">
        <v>354</v>
      </c>
      <c r="F250" s="36">
        <v>95</v>
      </c>
      <c r="G250" s="36">
        <v>131</v>
      </c>
      <c r="H250" s="36">
        <v>0</v>
      </c>
      <c r="I250" s="36">
        <v>0</v>
      </c>
      <c r="J250" s="36">
        <v>0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8760</v>
      </c>
      <c r="U250" s="36">
        <v>0</v>
      </c>
      <c r="V250" s="36">
        <v>0</v>
      </c>
      <c r="W250" s="36">
        <v>0</v>
      </c>
      <c r="X250" s="36">
        <v>0</v>
      </c>
      <c r="Y250" s="36">
        <v>0</v>
      </c>
      <c r="Z250" s="36">
        <v>0</v>
      </c>
      <c r="AA250" s="36">
        <v>0</v>
      </c>
      <c r="AB250" s="29"/>
    </row>
    <row r="251" spans="1:28">
      <c r="A251" s="7" t="str">
        <f t="shared" ref="A251:B252" si="255">A250</f>
        <v>非BERS適用分區而供其他綠建築手冊引用之暫行EUI基準(無氣候分區、單一中位值基準)</v>
      </c>
      <c r="B251" s="34" t="str">
        <f t="shared" si="255"/>
        <v>NB7</v>
      </c>
      <c r="C251" s="34" t="s">
        <v>382</v>
      </c>
      <c r="D251" s="34" t="str">
        <f t="shared" si="168"/>
        <v>NB7m</v>
      </c>
      <c r="E251" s="37" t="str">
        <f t="shared" ref="E251:E252" si="256">E250</f>
        <v>24小時作業無空調一般工廠製程區 (辦公區歸B3)</v>
      </c>
      <c r="F251" s="36">
        <f t="shared" ref="F251:H252" si="257">F250</f>
        <v>95</v>
      </c>
      <c r="G251" s="36">
        <f t="shared" si="257"/>
        <v>131</v>
      </c>
      <c r="H251" s="36">
        <f t="shared" si="257"/>
        <v>0</v>
      </c>
      <c r="I251" s="36">
        <f t="shared" ref="I251:I252" si="258">I250</f>
        <v>0</v>
      </c>
      <c r="J251" s="36">
        <f t="shared" ref="J251:J252" si="259">J250</f>
        <v>0</v>
      </c>
      <c r="K251" s="36">
        <f t="shared" ref="K251:K252" si="260">K250</f>
        <v>0</v>
      </c>
      <c r="L251" s="36">
        <f t="shared" ref="L251:L252" si="261">L250</f>
        <v>0</v>
      </c>
      <c r="M251" s="36">
        <f t="shared" ref="M251:M252" si="262">M250</f>
        <v>0</v>
      </c>
      <c r="N251" s="36">
        <f t="shared" ref="N251:AA252" si="263">N250</f>
        <v>0</v>
      </c>
      <c r="O251" s="36">
        <f t="shared" si="263"/>
        <v>0</v>
      </c>
      <c r="P251" s="36">
        <f t="shared" si="263"/>
        <v>0</v>
      </c>
      <c r="Q251" s="36">
        <f t="shared" si="263"/>
        <v>0</v>
      </c>
      <c r="R251" s="36">
        <f t="shared" si="263"/>
        <v>0</v>
      </c>
      <c r="S251" s="36">
        <f t="shared" si="263"/>
        <v>0</v>
      </c>
      <c r="T251" s="36">
        <f t="shared" si="263"/>
        <v>8760</v>
      </c>
      <c r="U251" s="36">
        <f t="shared" si="263"/>
        <v>0</v>
      </c>
      <c r="V251" s="36">
        <f t="shared" si="263"/>
        <v>0</v>
      </c>
      <c r="W251" s="36">
        <f t="shared" si="263"/>
        <v>0</v>
      </c>
      <c r="X251" s="36">
        <f t="shared" si="263"/>
        <v>0</v>
      </c>
      <c r="Y251" s="36">
        <f t="shared" si="263"/>
        <v>0</v>
      </c>
      <c r="Z251" s="36">
        <f t="shared" si="263"/>
        <v>0</v>
      </c>
      <c r="AA251" s="36">
        <f t="shared" si="263"/>
        <v>0</v>
      </c>
      <c r="AB251" s="29"/>
    </row>
    <row r="252" spans="1:28">
      <c r="A252" s="7" t="str">
        <f t="shared" si="255"/>
        <v>非BERS適用分區而供其他綠建築手冊引用之暫行EUI基準(無氣候分區、單一中位值基準)</v>
      </c>
      <c r="B252" s="34" t="str">
        <f t="shared" si="255"/>
        <v>NB7</v>
      </c>
      <c r="C252" s="34" t="s">
        <v>383</v>
      </c>
      <c r="D252" s="34" t="str">
        <f t="shared" si="168"/>
        <v>NB7max</v>
      </c>
      <c r="E252" s="37" t="str">
        <f t="shared" si="256"/>
        <v>24小時作業無空調一般工廠製程區 (辦公區歸B3)</v>
      </c>
      <c r="F252" s="36">
        <f t="shared" si="257"/>
        <v>95</v>
      </c>
      <c r="G252" s="36">
        <f t="shared" si="257"/>
        <v>131</v>
      </c>
      <c r="H252" s="36">
        <f t="shared" si="257"/>
        <v>0</v>
      </c>
      <c r="I252" s="36">
        <f t="shared" si="258"/>
        <v>0</v>
      </c>
      <c r="J252" s="36">
        <f t="shared" si="259"/>
        <v>0</v>
      </c>
      <c r="K252" s="36">
        <f t="shared" si="260"/>
        <v>0</v>
      </c>
      <c r="L252" s="36">
        <f t="shared" si="261"/>
        <v>0</v>
      </c>
      <c r="M252" s="36">
        <f t="shared" si="262"/>
        <v>0</v>
      </c>
      <c r="N252" s="36">
        <f t="shared" si="263"/>
        <v>0</v>
      </c>
      <c r="O252" s="36">
        <f t="shared" si="263"/>
        <v>0</v>
      </c>
      <c r="P252" s="36">
        <f t="shared" si="263"/>
        <v>0</v>
      </c>
      <c r="Q252" s="36">
        <f t="shared" si="263"/>
        <v>0</v>
      </c>
      <c r="R252" s="36">
        <f t="shared" si="263"/>
        <v>0</v>
      </c>
      <c r="S252" s="36">
        <f t="shared" si="263"/>
        <v>0</v>
      </c>
      <c r="T252" s="36">
        <f t="shared" si="263"/>
        <v>8760</v>
      </c>
      <c r="U252" s="36">
        <f t="shared" si="263"/>
        <v>0</v>
      </c>
      <c r="V252" s="36">
        <f t="shared" si="263"/>
        <v>0</v>
      </c>
      <c r="W252" s="36">
        <f t="shared" si="263"/>
        <v>0</v>
      </c>
      <c r="X252" s="36">
        <f t="shared" si="263"/>
        <v>0</v>
      </c>
      <c r="Y252" s="36">
        <f t="shared" si="263"/>
        <v>0</v>
      </c>
      <c r="Z252" s="36">
        <f t="shared" si="263"/>
        <v>0</v>
      </c>
      <c r="AA252" s="36">
        <f t="shared" si="263"/>
        <v>0</v>
      </c>
      <c r="AB252" s="29"/>
    </row>
    <row r="253" spans="1:28">
      <c r="A253" s="7" t="s">
        <v>338</v>
      </c>
      <c r="B253" s="34" t="s">
        <v>326</v>
      </c>
      <c r="C253" s="34" t="s">
        <v>381</v>
      </c>
      <c r="D253" s="34" t="str">
        <f t="shared" si="168"/>
        <v>NB8min</v>
      </c>
      <c r="E253" s="44" t="s">
        <v>355</v>
      </c>
      <c r="F253" s="36">
        <v>95</v>
      </c>
      <c r="G253" s="36">
        <v>131</v>
      </c>
      <c r="H253" s="36">
        <v>259</v>
      </c>
      <c r="I253" s="36">
        <v>259</v>
      </c>
      <c r="J253" s="36">
        <v>259</v>
      </c>
      <c r="K253" s="36">
        <v>259</v>
      </c>
      <c r="L253" s="36">
        <v>259</v>
      </c>
      <c r="M253" s="36">
        <v>259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8760</v>
      </c>
      <c r="U253" s="36">
        <v>8760</v>
      </c>
      <c r="V253" s="36">
        <v>8760</v>
      </c>
      <c r="W253" s="36">
        <v>8760</v>
      </c>
      <c r="X253" s="36">
        <v>8760</v>
      </c>
      <c r="Y253" s="36">
        <v>8760</v>
      </c>
      <c r="Z253" s="36">
        <v>8760</v>
      </c>
      <c r="AA253" s="36">
        <v>0</v>
      </c>
      <c r="AB253" s="29"/>
    </row>
    <row r="254" spans="1:28">
      <c r="A254" s="7" t="str">
        <f t="shared" ref="A254:B255" si="264">A253</f>
        <v>非BERS適用分區而供其他綠建築手冊引用之暫行EUI基準(無氣候分區、單一中位值基準)</v>
      </c>
      <c r="B254" s="34" t="str">
        <f t="shared" si="264"/>
        <v>NB8</v>
      </c>
      <c r="C254" s="34" t="s">
        <v>382</v>
      </c>
      <c r="D254" s="34" t="str">
        <f t="shared" si="168"/>
        <v>NB8m</v>
      </c>
      <c r="E254" s="37" t="str">
        <f t="shared" ref="E254:E255" si="265">E253</f>
        <v>24小時作業空調型一般工廠製程區辦公區歸B3</v>
      </c>
      <c r="F254" s="36">
        <f t="shared" ref="F254:H255" si="266">F253</f>
        <v>95</v>
      </c>
      <c r="G254" s="36">
        <f t="shared" si="266"/>
        <v>131</v>
      </c>
      <c r="H254" s="36">
        <f t="shared" si="266"/>
        <v>259</v>
      </c>
      <c r="I254" s="36">
        <f t="shared" ref="I254:I255" si="267">I253</f>
        <v>259</v>
      </c>
      <c r="J254" s="36">
        <f t="shared" ref="J254:J255" si="268">J253</f>
        <v>259</v>
      </c>
      <c r="K254" s="36">
        <f t="shared" ref="K254:K255" si="269">K253</f>
        <v>259</v>
      </c>
      <c r="L254" s="36">
        <f t="shared" ref="L254:L255" si="270">L253</f>
        <v>259</v>
      </c>
      <c r="M254" s="36">
        <f t="shared" ref="M254:M255" si="271">M253</f>
        <v>259</v>
      </c>
      <c r="N254" s="36">
        <f t="shared" ref="N254:AA255" si="272">N253</f>
        <v>0</v>
      </c>
      <c r="O254" s="36">
        <f t="shared" si="272"/>
        <v>0</v>
      </c>
      <c r="P254" s="36">
        <f t="shared" si="272"/>
        <v>0</v>
      </c>
      <c r="Q254" s="36">
        <f t="shared" si="272"/>
        <v>0</v>
      </c>
      <c r="R254" s="36">
        <f t="shared" si="272"/>
        <v>0</v>
      </c>
      <c r="S254" s="36">
        <f t="shared" si="272"/>
        <v>0</v>
      </c>
      <c r="T254" s="36">
        <f t="shared" si="272"/>
        <v>8760</v>
      </c>
      <c r="U254" s="36">
        <f t="shared" si="272"/>
        <v>8760</v>
      </c>
      <c r="V254" s="36">
        <f t="shared" si="272"/>
        <v>8760</v>
      </c>
      <c r="W254" s="36">
        <f t="shared" si="272"/>
        <v>8760</v>
      </c>
      <c r="X254" s="36">
        <f t="shared" si="272"/>
        <v>8760</v>
      </c>
      <c r="Y254" s="36">
        <f t="shared" si="272"/>
        <v>8760</v>
      </c>
      <c r="Z254" s="36">
        <f t="shared" si="272"/>
        <v>8760</v>
      </c>
      <c r="AA254" s="36">
        <f t="shared" si="272"/>
        <v>0</v>
      </c>
      <c r="AB254" s="29"/>
    </row>
    <row r="255" spans="1:28">
      <c r="A255" s="7" t="str">
        <f t="shared" si="264"/>
        <v>非BERS適用分區而供其他綠建築手冊引用之暫行EUI基準(無氣候分區、單一中位值基準)</v>
      </c>
      <c r="B255" s="34" t="str">
        <f t="shared" si="264"/>
        <v>NB8</v>
      </c>
      <c r="C255" s="34" t="s">
        <v>383</v>
      </c>
      <c r="D255" s="34" t="str">
        <f t="shared" si="168"/>
        <v>NB8max</v>
      </c>
      <c r="E255" s="37" t="str">
        <f t="shared" si="265"/>
        <v>24小時作業空調型一般工廠製程區辦公區歸B3</v>
      </c>
      <c r="F255" s="36">
        <f t="shared" si="266"/>
        <v>95</v>
      </c>
      <c r="G255" s="36">
        <f t="shared" si="266"/>
        <v>131</v>
      </c>
      <c r="H255" s="36">
        <f t="shared" si="266"/>
        <v>259</v>
      </c>
      <c r="I255" s="36">
        <f t="shared" si="267"/>
        <v>259</v>
      </c>
      <c r="J255" s="36">
        <f t="shared" si="268"/>
        <v>259</v>
      </c>
      <c r="K255" s="36">
        <f t="shared" si="269"/>
        <v>259</v>
      </c>
      <c r="L255" s="36">
        <f t="shared" si="270"/>
        <v>259</v>
      </c>
      <c r="M255" s="36">
        <f t="shared" si="271"/>
        <v>259</v>
      </c>
      <c r="N255" s="36">
        <f t="shared" si="272"/>
        <v>0</v>
      </c>
      <c r="O255" s="36">
        <f t="shared" si="272"/>
        <v>0</v>
      </c>
      <c r="P255" s="36">
        <f t="shared" si="272"/>
        <v>0</v>
      </c>
      <c r="Q255" s="36">
        <f t="shared" si="272"/>
        <v>0</v>
      </c>
      <c r="R255" s="36">
        <f t="shared" si="272"/>
        <v>0</v>
      </c>
      <c r="S255" s="36">
        <f t="shared" si="272"/>
        <v>0</v>
      </c>
      <c r="T255" s="36">
        <f t="shared" si="272"/>
        <v>8760</v>
      </c>
      <c r="U255" s="36">
        <f t="shared" si="272"/>
        <v>8760</v>
      </c>
      <c r="V255" s="36">
        <f t="shared" si="272"/>
        <v>8760</v>
      </c>
      <c r="W255" s="36">
        <f t="shared" si="272"/>
        <v>8760</v>
      </c>
      <c r="X255" s="36">
        <f t="shared" si="272"/>
        <v>8760</v>
      </c>
      <c r="Y255" s="36">
        <f t="shared" si="272"/>
        <v>8760</v>
      </c>
      <c r="Z255" s="36">
        <f t="shared" si="272"/>
        <v>8760</v>
      </c>
      <c r="AA255" s="36">
        <f t="shared" si="272"/>
        <v>0</v>
      </c>
      <c r="AB255" s="29"/>
    </row>
    <row r="256" spans="1:28">
      <c r="A256" s="7" t="s">
        <v>338</v>
      </c>
      <c r="B256" s="34" t="s">
        <v>327</v>
      </c>
      <c r="C256" s="34" t="s">
        <v>381</v>
      </c>
      <c r="D256" s="34" t="str">
        <f t="shared" si="168"/>
        <v>NB9min</v>
      </c>
      <c r="E256" s="44" t="s">
        <v>356</v>
      </c>
      <c r="F256" s="36">
        <v>95</v>
      </c>
      <c r="G256" s="36">
        <v>167</v>
      </c>
      <c r="H256" s="36">
        <v>271</v>
      </c>
      <c r="I256" s="36">
        <v>271</v>
      </c>
      <c r="J256" s="36">
        <v>271</v>
      </c>
      <c r="K256" s="36">
        <v>271</v>
      </c>
      <c r="L256" s="36">
        <v>271</v>
      </c>
      <c r="M256" s="36">
        <v>271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8760</v>
      </c>
      <c r="U256" s="36">
        <v>8760</v>
      </c>
      <c r="V256" s="36">
        <v>8760</v>
      </c>
      <c r="W256" s="36">
        <v>8760</v>
      </c>
      <c r="X256" s="36">
        <v>8760</v>
      </c>
      <c r="Y256" s="36">
        <v>8760</v>
      </c>
      <c r="Z256" s="36">
        <v>8760</v>
      </c>
      <c r="AA256" s="36">
        <v>0</v>
      </c>
      <c r="AB256" s="29"/>
    </row>
    <row r="257" spans="1:28">
      <c r="A257" s="7" t="str">
        <f t="shared" ref="A257:B258" si="273">A256</f>
        <v>非BERS適用分區而供其他綠建築手冊引用之暫行EUI基準(無氣候分區、單一中位值基準)</v>
      </c>
      <c r="B257" s="34" t="str">
        <f t="shared" si="273"/>
        <v>NB9</v>
      </c>
      <c r="C257" s="34" t="s">
        <v>382</v>
      </c>
      <c r="D257" s="34" t="str">
        <f t="shared" si="168"/>
        <v>NB9m</v>
      </c>
      <c r="E257" s="37" t="str">
        <f t="shared" ref="E257:E258" si="274">E256</f>
        <v>24小時作業空調型精密或潔淨製造製程區(辦公區歸 B3)</v>
      </c>
      <c r="F257" s="36">
        <f t="shared" ref="F257:H258" si="275">F256</f>
        <v>95</v>
      </c>
      <c r="G257" s="36">
        <f t="shared" si="275"/>
        <v>167</v>
      </c>
      <c r="H257" s="36">
        <f t="shared" si="275"/>
        <v>271</v>
      </c>
      <c r="I257" s="36">
        <f t="shared" ref="I257:I258" si="276">I256</f>
        <v>271</v>
      </c>
      <c r="J257" s="36">
        <f t="shared" ref="J257:J258" si="277">J256</f>
        <v>271</v>
      </c>
      <c r="K257" s="36">
        <f t="shared" ref="K257:K258" si="278">K256</f>
        <v>271</v>
      </c>
      <c r="L257" s="36">
        <f t="shared" ref="L257:L258" si="279">L256</f>
        <v>271</v>
      </c>
      <c r="M257" s="36">
        <f t="shared" ref="M257:M258" si="280">M256</f>
        <v>271</v>
      </c>
      <c r="N257" s="36">
        <f t="shared" ref="N257:AA258" si="281">N256</f>
        <v>0</v>
      </c>
      <c r="O257" s="36">
        <f t="shared" si="281"/>
        <v>0</v>
      </c>
      <c r="P257" s="36">
        <f t="shared" si="281"/>
        <v>0</v>
      </c>
      <c r="Q257" s="36">
        <f t="shared" si="281"/>
        <v>0</v>
      </c>
      <c r="R257" s="36">
        <f t="shared" si="281"/>
        <v>0</v>
      </c>
      <c r="S257" s="36">
        <f t="shared" si="281"/>
        <v>0</v>
      </c>
      <c r="T257" s="36">
        <f t="shared" si="281"/>
        <v>8760</v>
      </c>
      <c r="U257" s="36">
        <f t="shared" si="281"/>
        <v>8760</v>
      </c>
      <c r="V257" s="36">
        <f t="shared" si="281"/>
        <v>8760</v>
      </c>
      <c r="W257" s="36">
        <f t="shared" si="281"/>
        <v>8760</v>
      </c>
      <c r="X257" s="36">
        <f t="shared" si="281"/>
        <v>8760</v>
      </c>
      <c r="Y257" s="36">
        <f t="shared" si="281"/>
        <v>8760</v>
      </c>
      <c r="Z257" s="36">
        <f t="shared" si="281"/>
        <v>8760</v>
      </c>
      <c r="AA257" s="36">
        <f t="shared" si="281"/>
        <v>0</v>
      </c>
      <c r="AB257" s="29"/>
    </row>
    <row r="258" spans="1:28">
      <c r="A258" s="7" t="str">
        <f t="shared" si="273"/>
        <v>非BERS適用分區而供其他綠建築手冊引用之暫行EUI基準(無氣候分區、單一中位值基準)</v>
      </c>
      <c r="B258" s="34" t="str">
        <f t="shared" si="273"/>
        <v>NB9</v>
      </c>
      <c r="C258" s="34" t="s">
        <v>383</v>
      </c>
      <c r="D258" s="34" t="str">
        <f t="shared" si="168"/>
        <v>NB9max</v>
      </c>
      <c r="E258" s="37" t="str">
        <f t="shared" si="274"/>
        <v>24小時作業空調型精密或潔淨製造製程區(辦公區歸 B3)</v>
      </c>
      <c r="F258" s="36">
        <f t="shared" si="275"/>
        <v>95</v>
      </c>
      <c r="G258" s="36">
        <f t="shared" si="275"/>
        <v>167</v>
      </c>
      <c r="H258" s="36">
        <f t="shared" si="275"/>
        <v>271</v>
      </c>
      <c r="I258" s="36">
        <f t="shared" si="276"/>
        <v>271</v>
      </c>
      <c r="J258" s="36">
        <f t="shared" si="277"/>
        <v>271</v>
      </c>
      <c r="K258" s="36">
        <f t="shared" si="278"/>
        <v>271</v>
      </c>
      <c r="L258" s="36">
        <f t="shared" si="279"/>
        <v>271</v>
      </c>
      <c r="M258" s="36">
        <f t="shared" si="280"/>
        <v>271</v>
      </c>
      <c r="N258" s="36">
        <f t="shared" si="281"/>
        <v>0</v>
      </c>
      <c r="O258" s="36">
        <f t="shared" si="281"/>
        <v>0</v>
      </c>
      <c r="P258" s="36">
        <f t="shared" si="281"/>
        <v>0</v>
      </c>
      <c r="Q258" s="36">
        <f t="shared" si="281"/>
        <v>0</v>
      </c>
      <c r="R258" s="36">
        <f t="shared" si="281"/>
        <v>0</v>
      </c>
      <c r="S258" s="36">
        <f t="shared" si="281"/>
        <v>0</v>
      </c>
      <c r="T258" s="36">
        <f t="shared" si="281"/>
        <v>8760</v>
      </c>
      <c r="U258" s="36">
        <f t="shared" si="281"/>
        <v>8760</v>
      </c>
      <c r="V258" s="36">
        <f t="shared" si="281"/>
        <v>8760</v>
      </c>
      <c r="W258" s="36">
        <f t="shared" si="281"/>
        <v>8760</v>
      </c>
      <c r="X258" s="36">
        <f t="shared" si="281"/>
        <v>8760</v>
      </c>
      <c r="Y258" s="36">
        <f t="shared" si="281"/>
        <v>8760</v>
      </c>
      <c r="Z258" s="36">
        <f t="shared" si="281"/>
        <v>8760</v>
      </c>
      <c r="AA258" s="36">
        <f t="shared" si="281"/>
        <v>0</v>
      </c>
      <c r="AB258" s="29"/>
    </row>
    <row r="259" spans="1:28">
      <c r="A259" s="7" t="s">
        <v>338</v>
      </c>
      <c r="B259" s="34" t="s">
        <v>328</v>
      </c>
      <c r="C259" s="34" t="s">
        <v>381</v>
      </c>
      <c r="D259" s="34" t="str">
        <f t="shared" si="168"/>
        <v>NB10min</v>
      </c>
      <c r="E259" s="44" t="s">
        <v>357</v>
      </c>
      <c r="F259" s="36">
        <v>31</v>
      </c>
      <c r="G259" s="36">
        <v>47</v>
      </c>
      <c r="H259" s="36">
        <v>0</v>
      </c>
      <c r="I259" s="36">
        <v>0</v>
      </c>
      <c r="J259" s="36">
        <v>0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2540</v>
      </c>
      <c r="U259" s="36">
        <v>0</v>
      </c>
      <c r="V259" s="36">
        <v>0</v>
      </c>
      <c r="W259" s="36">
        <v>0</v>
      </c>
      <c r="X259" s="36">
        <v>0</v>
      </c>
      <c r="Y259" s="36">
        <v>0</v>
      </c>
      <c r="Z259" s="36">
        <v>0</v>
      </c>
      <c r="AA259" s="36">
        <v>0</v>
      </c>
      <c r="AB259" s="29"/>
    </row>
    <row r="260" spans="1:28">
      <c r="A260" s="7" t="str">
        <f t="shared" ref="A260:B261" si="282">A259</f>
        <v>非BERS適用分區而供其他綠建築手冊引用之暫行EUI基準(無氣候分區、單一中位值基準)</v>
      </c>
      <c r="B260" s="34" t="str">
        <f t="shared" si="282"/>
        <v>NB10</v>
      </c>
      <c r="C260" s="34" t="s">
        <v>382</v>
      </c>
      <c r="D260" s="34" t="str">
        <f t="shared" si="168"/>
        <v>NB10m</v>
      </c>
      <c r="E260" s="7" t="str">
        <f t="shared" ref="E260:E261" si="283">E259</f>
        <v>10小時作業無空調一般工廠製程區 (公區歸B3)</v>
      </c>
      <c r="F260" s="36">
        <f t="shared" ref="F260:H261" si="284">F259</f>
        <v>31</v>
      </c>
      <c r="G260" s="36">
        <f t="shared" si="284"/>
        <v>47</v>
      </c>
      <c r="H260" s="36">
        <f t="shared" si="284"/>
        <v>0</v>
      </c>
      <c r="I260" s="36">
        <f t="shared" ref="I260:I261" si="285">I259</f>
        <v>0</v>
      </c>
      <c r="J260" s="36">
        <f t="shared" ref="J260:J261" si="286">J259</f>
        <v>0</v>
      </c>
      <c r="K260" s="36">
        <f t="shared" ref="K260:K261" si="287">K259</f>
        <v>0</v>
      </c>
      <c r="L260" s="36">
        <f t="shared" ref="L260:L261" si="288">L259</f>
        <v>0</v>
      </c>
      <c r="M260" s="36">
        <f t="shared" ref="M260:M261" si="289">M259</f>
        <v>0</v>
      </c>
      <c r="N260" s="36">
        <f t="shared" ref="N260:AA261" si="290">N259</f>
        <v>0</v>
      </c>
      <c r="O260" s="36">
        <f t="shared" si="290"/>
        <v>0</v>
      </c>
      <c r="P260" s="36">
        <f t="shared" si="290"/>
        <v>0</v>
      </c>
      <c r="Q260" s="36">
        <f t="shared" si="290"/>
        <v>0</v>
      </c>
      <c r="R260" s="36">
        <f t="shared" si="290"/>
        <v>0</v>
      </c>
      <c r="S260" s="36">
        <f t="shared" si="290"/>
        <v>0</v>
      </c>
      <c r="T260" s="36">
        <f t="shared" si="290"/>
        <v>2540</v>
      </c>
      <c r="U260" s="36">
        <f t="shared" si="290"/>
        <v>0</v>
      </c>
      <c r="V260" s="36">
        <f t="shared" si="290"/>
        <v>0</v>
      </c>
      <c r="W260" s="36">
        <f t="shared" si="290"/>
        <v>0</v>
      </c>
      <c r="X260" s="36">
        <f t="shared" si="290"/>
        <v>0</v>
      </c>
      <c r="Y260" s="36">
        <f t="shared" si="290"/>
        <v>0</v>
      </c>
      <c r="Z260" s="36">
        <f t="shared" si="290"/>
        <v>0</v>
      </c>
      <c r="AA260" s="36">
        <f t="shared" si="290"/>
        <v>0</v>
      </c>
      <c r="AB260" s="29"/>
    </row>
    <row r="261" spans="1:28">
      <c r="A261" s="7" t="str">
        <f t="shared" si="282"/>
        <v>非BERS適用分區而供其他綠建築手冊引用之暫行EUI基準(無氣候分區、單一中位值基準)</v>
      </c>
      <c r="B261" s="34" t="str">
        <f t="shared" si="282"/>
        <v>NB10</v>
      </c>
      <c r="C261" s="34" t="s">
        <v>383</v>
      </c>
      <c r="D261" s="34" t="str">
        <f t="shared" ref="D261:D276" si="291">B261&amp;C261</f>
        <v>NB10max</v>
      </c>
      <c r="E261" s="37" t="str">
        <f t="shared" si="283"/>
        <v>10小時作業無空調一般工廠製程區 (公區歸B3)</v>
      </c>
      <c r="F261" s="36">
        <f t="shared" si="284"/>
        <v>31</v>
      </c>
      <c r="G261" s="36">
        <f t="shared" si="284"/>
        <v>47</v>
      </c>
      <c r="H261" s="36">
        <f t="shared" si="284"/>
        <v>0</v>
      </c>
      <c r="I261" s="36">
        <f t="shared" si="285"/>
        <v>0</v>
      </c>
      <c r="J261" s="36">
        <f t="shared" si="286"/>
        <v>0</v>
      </c>
      <c r="K261" s="36">
        <f t="shared" si="287"/>
        <v>0</v>
      </c>
      <c r="L261" s="36">
        <f t="shared" si="288"/>
        <v>0</v>
      </c>
      <c r="M261" s="36">
        <f t="shared" si="289"/>
        <v>0</v>
      </c>
      <c r="N261" s="36">
        <f t="shared" si="290"/>
        <v>0</v>
      </c>
      <c r="O261" s="36">
        <f t="shared" si="290"/>
        <v>0</v>
      </c>
      <c r="P261" s="36">
        <f t="shared" si="290"/>
        <v>0</v>
      </c>
      <c r="Q261" s="36">
        <f t="shared" si="290"/>
        <v>0</v>
      </c>
      <c r="R261" s="36">
        <f t="shared" si="290"/>
        <v>0</v>
      </c>
      <c r="S261" s="36">
        <f t="shared" si="290"/>
        <v>0</v>
      </c>
      <c r="T261" s="36">
        <f t="shared" si="290"/>
        <v>2540</v>
      </c>
      <c r="U261" s="36">
        <f t="shared" si="290"/>
        <v>0</v>
      </c>
      <c r="V261" s="36">
        <f t="shared" si="290"/>
        <v>0</v>
      </c>
      <c r="W261" s="36">
        <f t="shared" si="290"/>
        <v>0</v>
      </c>
      <c r="X261" s="36">
        <f t="shared" si="290"/>
        <v>0</v>
      </c>
      <c r="Y261" s="36">
        <f t="shared" si="290"/>
        <v>0</v>
      </c>
      <c r="Z261" s="36">
        <f t="shared" si="290"/>
        <v>0</v>
      </c>
      <c r="AA261" s="36">
        <f t="shared" si="290"/>
        <v>0</v>
      </c>
      <c r="AB261" s="29"/>
    </row>
    <row r="262" spans="1:28">
      <c r="A262" s="7" t="s">
        <v>338</v>
      </c>
      <c r="B262" s="34" t="s">
        <v>329</v>
      </c>
      <c r="C262" s="34" t="s">
        <v>381</v>
      </c>
      <c r="D262" s="34" t="str">
        <f t="shared" si="291"/>
        <v>NB11min</v>
      </c>
      <c r="E262" s="44" t="s">
        <v>358</v>
      </c>
      <c r="F262" s="36">
        <v>31</v>
      </c>
      <c r="G262" s="36">
        <v>47</v>
      </c>
      <c r="H262" s="36">
        <v>76</v>
      </c>
      <c r="I262" s="36">
        <v>76</v>
      </c>
      <c r="J262" s="36">
        <v>76</v>
      </c>
      <c r="K262" s="36">
        <v>76</v>
      </c>
      <c r="L262" s="36">
        <v>76</v>
      </c>
      <c r="M262" s="36">
        <v>76</v>
      </c>
      <c r="N262" s="36">
        <v>0</v>
      </c>
      <c r="O262" s="36">
        <v>0</v>
      </c>
      <c r="P262" s="36">
        <v>0</v>
      </c>
      <c r="Q262" s="36">
        <v>0</v>
      </c>
      <c r="R262" s="36">
        <v>0</v>
      </c>
      <c r="S262" s="36">
        <v>0</v>
      </c>
      <c r="T262" s="36">
        <v>2540</v>
      </c>
      <c r="U262" s="36">
        <v>2540</v>
      </c>
      <c r="V262" s="36">
        <v>2540</v>
      </c>
      <c r="W262" s="36">
        <v>2540</v>
      </c>
      <c r="X262" s="36">
        <v>2540</v>
      </c>
      <c r="Y262" s="36">
        <v>2540</v>
      </c>
      <c r="Z262" s="36">
        <v>2540</v>
      </c>
      <c r="AA262" s="36">
        <v>0</v>
      </c>
      <c r="AB262" s="29"/>
    </row>
    <row r="263" spans="1:28">
      <c r="A263" s="7" t="str">
        <f t="shared" ref="A263:B264" si="292">A262</f>
        <v>非BERS適用分區而供其他綠建築手冊引用之暫行EUI基準(無氣候分區、單一中位值基準)</v>
      </c>
      <c r="B263" s="34" t="str">
        <f t="shared" si="292"/>
        <v>NB11</v>
      </c>
      <c r="C263" s="34" t="s">
        <v>382</v>
      </c>
      <c r="D263" s="34" t="str">
        <f t="shared" si="291"/>
        <v>NB11m</v>
      </c>
      <c r="E263" s="37" t="str">
        <f t="shared" ref="E263:E264" si="293">E262</f>
        <v>10小時作業空調型一般工廠製程區辦公區歸B3</v>
      </c>
      <c r="F263" s="36">
        <f t="shared" ref="F263:H264" si="294">F262</f>
        <v>31</v>
      </c>
      <c r="G263" s="36">
        <f t="shared" si="294"/>
        <v>47</v>
      </c>
      <c r="H263" s="36">
        <f t="shared" si="294"/>
        <v>76</v>
      </c>
      <c r="I263" s="36">
        <f t="shared" ref="I263:I264" si="295">I262</f>
        <v>76</v>
      </c>
      <c r="J263" s="36">
        <f t="shared" ref="J263:J264" si="296">J262</f>
        <v>76</v>
      </c>
      <c r="K263" s="36">
        <f t="shared" ref="K263:K264" si="297">K262</f>
        <v>76</v>
      </c>
      <c r="L263" s="36">
        <f t="shared" ref="L263:L264" si="298">L262</f>
        <v>76</v>
      </c>
      <c r="M263" s="36">
        <f t="shared" ref="M263:M264" si="299">M262</f>
        <v>76</v>
      </c>
      <c r="N263" s="36">
        <f t="shared" ref="N263:AA264" si="300">N262</f>
        <v>0</v>
      </c>
      <c r="O263" s="36">
        <f t="shared" si="300"/>
        <v>0</v>
      </c>
      <c r="P263" s="36">
        <f t="shared" si="300"/>
        <v>0</v>
      </c>
      <c r="Q263" s="36">
        <f t="shared" si="300"/>
        <v>0</v>
      </c>
      <c r="R263" s="36">
        <f t="shared" si="300"/>
        <v>0</v>
      </c>
      <c r="S263" s="36">
        <f t="shared" si="300"/>
        <v>0</v>
      </c>
      <c r="T263" s="36">
        <f t="shared" si="300"/>
        <v>2540</v>
      </c>
      <c r="U263" s="36">
        <f t="shared" si="300"/>
        <v>2540</v>
      </c>
      <c r="V263" s="36">
        <f t="shared" si="300"/>
        <v>2540</v>
      </c>
      <c r="W263" s="36">
        <f t="shared" si="300"/>
        <v>2540</v>
      </c>
      <c r="X263" s="36">
        <f t="shared" si="300"/>
        <v>2540</v>
      </c>
      <c r="Y263" s="36">
        <f t="shared" si="300"/>
        <v>2540</v>
      </c>
      <c r="Z263" s="36">
        <f t="shared" si="300"/>
        <v>2540</v>
      </c>
      <c r="AA263" s="36">
        <f t="shared" si="300"/>
        <v>0</v>
      </c>
      <c r="AB263" s="29"/>
    </row>
    <row r="264" spans="1:28">
      <c r="A264" s="7" t="str">
        <f t="shared" si="292"/>
        <v>非BERS適用分區而供其他綠建築手冊引用之暫行EUI基準(無氣候分區、單一中位值基準)</v>
      </c>
      <c r="B264" s="34" t="str">
        <f t="shared" si="292"/>
        <v>NB11</v>
      </c>
      <c r="C264" s="34" t="s">
        <v>383</v>
      </c>
      <c r="D264" s="34" t="str">
        <f t="shared" si="291"/>
        <v>NB11max</v>
      </c>
      <c r="E264" s="37" t="str">
        <f t="shared" si="293"/>
        <v>10小時作業空調型一般工廠製程區辦公區歸B3</v>
      </c>
      <c r="F264" s="36">
        <f t="shared" si="294"/>
        <v>31</v>
      </c>
      <c r="G264" s="36">
        <f t="shared" si="294"/>
        <v>47</v>
      </c>
      <c r="H264" s="36">
        <f t="shared" si="294"/>
        <v>76</v>
      </c>
      <c r="I264" s="36">
        <f t="shared" si="295"/>
        <v>76</v>
      </c>
      <c r="J264" s="36">
        <f t="shared" si="296"/>
        <v>76</v>
      </c>
      <c r="K264" s="36">
        <f t="shared" si="297"/>
        <v>76</v>
      </c>
      <c r="L264" s="36">
        <f t="shared" si="298"/>
        <v>76</v>
      </c>
      <c r="M264" s="36">
        <f t="shared" si="299"/>
        <v>76</v>
      </c>
      <c r="N264" s="36">
        <f t="shared" si="300"/>
        <v>0</v>
      </c>
      <c r="O264" s="36">
        <f t="shared" si="300"/>
        <v>0</v>
      </c>
      <c r="P264" s="36">
        <f t="shared" si="300"/>
        <v>0</v>
      </c>
      <c r="Q264" s="36">
        <f t="shared" si="300"/>
        <v>0</v>
      </c>
      <c r="R264" s="36">
        <f t="shared" si="300"/>
        <v>0</v>
      </c>
      <c r="S264" s="36">
        <f t="shared" si="300"/>
        <v>0</v>
      </c>
      <c r="T264" s="36">
        <f t="shared" si="300"/>
        <v>2540</v>
      </c>
      <c r="U264" s="36">
        <f t="shared" si="300"/>
        <v>2540</v>
      </c>
      <c r="V264" s="36">
        <f t="shared" si="300"/>
        <v>2540</v>
      </c>
      <c r="W264" s="36">
        <f t="shared" si="300"/>
        <v>2540</v>
      </c>
      <c r="X264" s="36">
        <f t="shared" si="300"/>
        <v>2540</v>
      </c>
      <c r="Y264" s="36">
        <f t="shared" si="300"/>
        <v>2540</v>
      </c>
      <c r="Z264" s="36">
        <f t="shared" si="300"/>
        <v>2540</v>
      </c>
      <c r="AA264" s="36">
        <f t="shared" si="300"/>
        <v>0</v>
      </c>
      <c r="AB264" s="29"/>
    </row>
    <row r="265" spans="1:28">
      <c r="A265" s="7" t="s">
        <v>338</v>
      </c>
      <c r="B265" s="34" t="s">
        <v>330</v>
      </c>
      <c r="C265" s="34" t="s">
        <v>381</v>
      </c>
      <c r="D265" s="34" t="str">
        <f t="shared" si="291"/>
        <v>NB12min</v>
      </c>
      <c r="E265" s="44" t="s">
        <v>359</v>
      </c>
      <c r="F265" s="36">
        <v>31</v>
      </c>
      <c r="G265" s="36">
        <v>58</v>
      </c>
      <c r="H265" s="36">
        <v>78</v>
      </c>
      <c r="I265" s="36">
        <v>78</v>
      </c>
      <c r="J265" s="36">
        <v>78</v>
      </c>
      <c r="K265" s="36">
        <v>78</v>
      </c>
      <c r="L265" s="36">
        <v>78</v>
      </c>
      <c r="M265" s="36">
        <v>78</v>
      </c>
      <c r="N265" s="36">
        <v>0</v>
      </c>
      <c r="O265" s="36">
        <v>0</v>
      </c>
      <c r="P265" s="36">
        <v>0</v>
      </c>
      <c r="Q265" s="36">
        <v>0</v>
      </c>
      <c r="R265" s="36">
        <v>0</v>
      </c>
      <c r="S265" s="36">
        <v>0</v>
      </c>
      <c r="T265" s="36">
        <v>2540</v>
      </c>
      <c r="U265" s="36">
        <v>2540</v>
      </c>
      <c r="V265" s="36">
        <v>2540</v>
      </c>
      <c r="W265" s="36">
        <v>2540</v>
      </c>
      <c r="X265" s="36">
        <v>2540</v>
      </c>
      <c r="Y265" s="36">
        <v>2540</v>
      </c>
      <c r="Z265" s="36">
        <v>2540</v>
      </c>
      <c r="AA265" s="36">
        <v>0</v>
      </c>
      <c r="AB265" s="29"/>
    </row>
    <row r="266" spans="1:28">
      <c r="A266" s="7" t="str">
        <f t="shared" ref="A266:B267" si="301">A265</f>
        <v>非BERS適用分區而供其他綠建築手冊引用之暫行EUI基準(無氣候分區、單一中位值基準)</v>
      </c>
      <c r="B266" s="34" t="str">
        <f t="shared" si="301"/>
        <v>NB12</v>
      </c>
      <c r="C266" s="34" t="s">
        <v>382</v>
      </c>
      <c r="D266" s="34" t="str">
        <f t="shared" si="291"/>
        <v>NB12m</v>
      </c>
      <c r="E266" s="7" t="str">
        <f t="shared" ref="E266:E267" si="302">E265</f>
        <v>10小時作業空調型精密或潔淨製造製程區(辦公區歸 B3)</v>
      </c>
      <c r="F266" s="36">
        <f t="shared" ref="F266:H267" si="303">F265</f>
        <v>31</v>
      </c>
      <c r="G266" s="36">
        <f t="shared" si="303"/>
        <v>58</v>
      </c>
      <c r="H266" s="36">
        <f t="shared" si="303"/>
        <v>78</v>
      </c>
      <c r="I266" s="36">
        <f t="shared" ref="I266:I267" si="304">I265</f>
        <v>78</v>
      </c>
      <c r="J266" s="36">
        <f t="shared" ref="J266:J267" si="305">J265</f>
        <v>78</v>
      </c>
      <c r="K266" s="36">
        <f t="shared" ref="K266:K267" si="306">K265</f>
        <v>78</v>
      </c>
      <c r="L266" s="36">
        <f t="shared" ref="L266:L267" si="307">L265</f>
        <v>78</v>
      </c>
      <c r="M266" s="36">
        <f t="shared" ref="M266:M267" si="308">M265</f>
        <v>78</v>
      </c>
      <c r="N266" s="36">
        <f t="shared" ref="N266:AA267" si="309">N265</f>
        <v>0</v>
      </c>
      <c r="O266" s="36">
        <f t="shared" si="309"/>
        <v>0</v>
      </c>
      <c r="P266" s="36">
        <f t="shared" si="309"/>
        <v>0</v>
      </c>
      <c r="Q266" s="36">
        <f t="shared" si="309"/>
        <v>0</v>
      </c>
      <c r="R266" s="36">
        <f t="shared" si="309"/>
        <v>0</v>
      </c>
      <c r="S266" s="36">
        <f t="shared" si="309"/>
        <v>0</v>
      </c>
      <c r="T266" s="36">
        <f t="shared" si="309"/>
        <v>2540</v>
      </c>
      <c r="U266" s="36">
        <f t="shared" si="309"/>
        <v>2540</v>
      </c>
      <c r="V266" s="36">
        <f t="shared" si="309"/>
        <v>2540</v>
      </c>
      <c r="W266" s="36">
        <f t="shared" si="309"/>
        <v>2540</v>
      </c>
      <c r="X266" s="36">
        <f t="shared" si="309"/>
        <v>2540</v>
      </c>
      <c r="Y266" s="36">
        <f t="shared" si="309"/>
        <v>2540</v>
      </c>
      <c r="Z266" s="36">
        <f t="shared" si="309"/>
        <v>2540</v>
      </c>
      <c r="AA266" s="36">
        <f t="shared" si="309"/>
        <v>0</v>
      </c>
      <c r="AB266" s="29"/>
    </row>
    <row r="267" spans="1:28">
      <c r="A267" s="7" t="str">
        <f t="shared" si="301"/>
        <v>非BERS適用分區而供其他綠建築手冊引用之暫行EUI基準(無氣候分區、單一中位值基準)</v>
      </c>
      <c r="B267" s="34" t="str">
        <f t="shared" si="301"/>
        <v>NB12</v>
      </c>
      <c r="C267" s="34" t="s">
        <v>383</v>
      </c>
      <c r="D267" s="34" t="str">
        <f t="shared" si="291"/>
        <v>NB12max</v>
      </c>
      <c r="E267" s="7" t="str">
        <f t="shared" si="302"/>
        <v>10小時作業空調型精密或潔淨製造製程區(辦公區歸 B3)</v>
      </c>
      <c r="F267" s="36">
        <f t="shared" si="303"/>
        <v>31</v>
      </c>
      <c r="G267" s="36">
        <f t="shared" si="303"/>
        <v>58</v>
      </c>
      <c r="H267" s="36">
        <f t="shared" si="303"/>
        <v>78</v>
      </c>
      <c r="I267" s="36">
        <f t="shared" si="304"/>
        <v>78</v>
      </c>
      <c r="J267" s="36">
        <f t="shared" si="305"/>
        <v>78</v>
      </c>
      <c r="K267" s="36">
        <f t="shared" si="306"/>
        <v>78</v>
      </c>
      <c r="L267" s="36">
        <f t="shared" si="307"/>
        <v>78</v>
      </c>
      <c r="M267" s="36">
        <f t="shared" si="308"/>
        <v>78</v>
      </c>
      <c r="N267" s="36">
        <f t="shared" si="309"/>
        <v>0</v>
      </c>
      <c r="O267" s="36">
        <f t="shared" si="309"/>
        <v>0</v>
      </c>
      <c r="P267" s="36">
        <f t="shared" si="309"/>
        <v>0</v>
      </c>
      <c r="Q267" s="36">
        <f t="shared" si="309"/>
        <v>0</v>
      </c>
      <c r="R267" s="36">
        <f t="shared" si="309"/>
        <v>0</v>
      </c>
      <c r="S267" s="36">
        <f t="shared" si="309"/>
        <v>0</v>
      </c>
      <c r="T267" s="36">
        <f t="shared" si="309"/>
        <v>2540</v>
      </c>
      <c r="U267" s="36">
        <f t="shared" si="309"/>
        <v>2540</v>
      </c>
      <c r="V267" s="36">
        <f t="shared" si="309"/>
        <v>2540</v>
      </c>
      <c r="W267" s="36">
        <f t="shared" si="309"/>
        <v>2540</v>
      </c>
      <c r="X267" s="36">
        <f t="shared" si="309"/>
        <v>2540</v>
      </c>
      <c r="Y267" s="36">
        <f t="shared" si="309"/>
        <v>2540</v>
      </c>
      <c r="Z267" s="36">
        <f t="shared" si="309"/>
        <v>2540</v>
      </c>
      <c r="AA267" s="36">
        <f t="shared" si="309"/>
        <v>0</v>
      </c>
      <c r="AB267" s="29"/>
    </row>
    <row r="268" spans="1:28">
      <c r="A268" s="7" t="s">
        <v>338</v>
      </c>
      <c r="B268" s="34" t="s">
        <v>331</v>
      </c>
      <c r="C268" s="34" t="s">
        <v>381</v>
      </c>
      <c r="D268" s="34" t="str">
        <f t="shared" si="291"/>
        <v>NB13min</v>
      </c>
      <c r="E268" s="43" t="s">
        <v>360</v>
      </c>
      <c r="F268" s="36">
        <v>30</v>
      </c>
      <c r="G268" s="36">
        <v>30</v>
      </c>
      <c r="H268" s="36">
        <v>30</v>
      </c>
      <c r="I268" s="36">
        <v>30</v>
      </c>
      <c r="J268" s="36">
        <v>30</v>
      </c>
      <c r="K268" s="36">
        <v>30</v>
      </c>
      <c r="L268" s="36">
        <v>30</v>
      </c>
      <c r="M268" s="36">
        <v>30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8760</v>
      </c>
      <c r="U268" s="36">
        <v>0</v>
      </c>
      <c r="V268" s="36">
        <v>0</v>
      </c>
      <c r="W268" s="36">
        <v>0</v>
      </c>
      <c r="X268" s="36">
        <v>0</v>
      </c>
      <c r="Y268" s="36">
        <v>0</v>
      </c>
      <c r="Z268" s="36">
        <v>0</v>
      </c>
      <c r="AA268" s="36">
        <v>0</v>
      </c>
      <c r="AB268" s="29"/>
    </row>
    <row r="269" spans="1:28">
      <c r="A269" s="7" t="str">
        <f t="shared" ref="A269:B270" si="310">A268</f>
        <v>非BERS適用分區而供其他綠建築手冊引用之暫行EUI基準(無氣候分區、單一中位值基準)</v>
      </c>
      <c r="B269" s="34" t="str">
        <f t="shared" si="310"/>
        <v>NB13</v>
      </c>
      <c r="C269" s="34" t="s">
        <v>382</v>
      </c>
      <c r="D269" s="34" t="str">
        <f t="shared" si="291"/>
        <v>NB13m</v>
      </c>
      <c r="E269" s="7" t="str">
        <f t="shared" ref="E269:E270" si="311">E268</f>
        <v>室內停車場</v>
      </c>
      <c r="F269" s="36">
        <f t="shared" ref="F269:H270" si="312">F268</f>
        <v>30</v>
      </c>
      <c r="G269" s="36">
        <f t="shared" si="312"/>
        <v>30</v>
      </c>
      <c r="H269" s="36">
        <f t="shared" si="312"/>
        <v>30</v>
      </c>
      <c r="I269" s="36">
        <f t="shared" ref="I269:I270" si="313">I268</f>
        <v>30</v>
      </c>
      <c r="J269" s="36">
        <f t="shared" ref="J269:J270" si="314">J268</f>
        <v>30</v>
      </c>
      <c r="K269" s="36">
        <f t="shared" ref="K269:K270" si="315">K268</f>
        <v>30</v>
      </c>
      <c r="L269" s="36">
        <f t="shared" ref="L269:L270" si="316">L268</f>
        <v>30</v>
      </c>
      <c r="M269" s="36">
        <f t="shared" ref="M269:M270" si="317">M268</f>
        <v>30</v>
      </c>
      <c r="N269" s="36">
        <f t="shared" ref="N269:AA270" si="318">N268</f>
        <v>0</v>
      </c>
      <c r="O269" s="36">
        <f t="shared" si="318"/>
        <v>0</v>
      </c>
      <c r="P269" s="36">
        <f t="shared" si="318"/>
        <v>0</v>
      </c>
      <c r="Q269" s="36">
        <f t="shared" si="318"/>
        <v>0</v>
      </c>
      <c r="R269" s="36">
        <f t="shared" si="318"/>
        <v>0</v>
      </c>
      <c r="S269" s="36">
        <f t="shared" si="318"/>
        <v>0</v>
      </c>
      <c r="T269" s="36">
        <f t="shared" si="318"/>
        <v>8760</v>
      </c>
      <c r="U269" s="36">
        <f t="shared" si="318"/>
        <v>0</v>
      </c>
      <c r="V269" s="36">
        <f t="shared" si="318"/>
        <v>0</v>
      </c>
      <c r="W269" s="36">
        <f t="shared" si="318"/>
        <v>0</v>
      </c>
      <c r="X269" s="36">
        <f t="shared" si="318"/>
        <v>0</v>
      </c>
      <c r="Y269" s="36">
        <f t="shared" si="318"/>
        <v>0</v>
      </c>
      <c r="Z269" s="36">
        <f t="shared" si="318"/>
        <v>0</v>
      </c>
      <c r="AA269" s="36">
        <f t="shared" si="318"/>
        <v>0</v>
      </c>
      <c r="AB269" s="29"/>
    </row>
    <row r="270" spans="1:28">
      <c r="A270" s="7" t="str">
        <f t="shared" si="310"/>
        <v>非BERS適用分區而供其他綠建築手冊引用之暫行EUI基準(無氣候分區、單一中位值基準)</v>
      </c>
      <c r="B270" s="34" t="str">
        <f t="shared" si="310"/>
        <v>NB13</v>
      </c>
      <c r="C270" s="34" t="s">
        <v>383</v>
      </c>
      <c r="D270" s="34" t="str">
        <f t="shared" si="291"/>
        <v>NB13max</v>
      </c>
      <c r="E270" s="37" t="str">
        <f t="shared" si="311"/>
        <v>室內停車場</v>
      </c>
      <c r="F270" s="36">
        <f t="shared" si="312"/>
        <v>30</v>
      </c>
      <c r="G270" s="36">
        <f t="shared" si="312"/>
        <v>30</v>
      </c>
      <c r="H270" s="36">
        <f t="shared" si="312"/>
        <v>30</v>
      </c>
      <c r="I270" s="36">
        <f t="shared" si="313"/>
        <v>30</v>
      </c>
      <c r="J270" s="36">
        <f t="shared" si="314"/>
        <v>30</v>
      </c>
      <c r="K270" s="36">
        <f t="shared" si="315"/>
        <v>30</v>
      </c>
      <c r="L270" s="36">
        <f t="shared" si="316"/>
        <v>30</v>
      </c>
      <c r="M270" s="36">
        <f t="shared" si="317"/>
        <v>30</v>
      </c>
      <c r="N270" s="36">
        <f t="shared" si="318"/>
        <v>0</v>
      </c>
      <c r="O270" s="36">
        <f t="shared" si="318"/>
        <v>0</v>
      </c>
      <c r="P270" s="36">
        <f t="shared" si="318"/>
        <v>0</v>
      </c>
      <c r="Q270" s="36">
        <f t="shared" si="318"/>
        <v>0</v>
      </c>
      <c r="R270" s="36">
        <f t="shared" si="318"/>
        <v>0</v>
      </c>
      <c r="S270" s="36">
        <f t="shared" si="318"/>
        <v>0</v>
      </c>
      <c r="T270" s="36">
        <f t="shared" si="318"/>
        <v>8760</v>
      </c>
      <c r="U270" s="36">
        <f t="shared" si="318"/>
        <v>0</v>
      </c>
      <c r="V270" s="36">
        <f t="shared" si="318"/>
        <v>0</v>
      </c>
      <c r="W270" s="36">
        <f t="shared" si="318"/>
        <v>0</v>
      </c>
      <c r="X270" s="36">
        <f t="shared" si="318"/>
        <v>0</v>
      </c>
      <c r="Y270" s="36">
        <f t="shared" si="318"/>
        <v>0</v>
      </c>
      <c r="Z270" s="36">
        <f t="shared" si="318"/>
        <v>0</v>
      </c>
      <c r="AA270" s="36">
        <f t="shared" si="318"/>
        <v>0</v>
      </c>
      <c r="AB270" s="29"/>
    </row>
    <row r="271" spans="1:28">
      <c r="A271" s="7" t="s">
        <v>338</v>
      </c>
      <c r="B271" s="34" t="s">
        <v>332</v>
      </c>
      <c r="C271" s="34" t="s">
        <v>381</v>
      </c>
      <c r="D271" s="34" t="str">
        <f t="shared" si="291"/>
        <v>NB14min</v>
      </c>
      <c r="E271" s="43" t="s">
        <v>361</v>
      </c>
      <c r="F271" s="36">
        <v>25</v>
      </c>
      <c r="G271" s="36">
        <v>25</v>
      </c>
      <c r="H271" s="36">
        <v>25</v>
      </c>
      <c r="I271" s="36">
        <v>25</v>
      </c>
      <c r="J271" s="36">
        <v>25</v>
      </c>
      <c r="K271" s="36">
        <v>25</v>
      </c>
      <c r="L271" s="36">
        <v>25</v>
      </c>
      <c r="M271" s="36">
        <v>25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8760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36">
        <v>0</v>
      </c>
      <c r="AA271" s="36">
        <v>0</v>
      </c>
      <c r="AB271" s="29"/>
    </row>
    <row r="272" spans="1:28">
      <c r="A272" s="7" t="str">
        <f t="shared" ref="A272:B273" si="319">A271</f>
        <v>非BERS適用分區而供其他綠建築手冊引用之暫行EUI基準(無氣候分區、單一中位值基準)</v>
      </c>
      <c r="B272" s="34" t="str">
        <f t="shared" si="319"/>
        <v>NB14</v>
      </c>
      <c r="C272" s="34" t="s">
        <v>382</v>
      </c>
      <c r="D272" s="34" t="str">
        <f t="shared" si="291"/>
        <v>NB14m</v>
      </c>
      <c r="E272" s="37" t="str">
        <f t="shared" ref="E272:E273" si="320">E271</f>
        <v>無空調通風型專用倉儲</v>
      </c>
      <c r="F272" s="36">
        <f t="shared" ref="F272:H273" si="321">F271</f>
        <v>25</v>
      </c>
      <c r="G272" s="36">
        <f t="shared" si="321"/>
        <v>25</v>
      </c>
      <c r="H272" s="36">
        <f t="shared" si="321"/>
        <v>25</v>
      </c>
      <c r="I272" s="36">
        <f t="shared" ref="I272:I273" si="322">I271</f>
        <v>25</v>
      </c>
      <c r="J272" s="36">
        <f t="shared" ref="J272:J273" si="323">J271</f>
        <v>25</v>
      </c>
      <c r="K272" s="36">
        <f t="shared" ref="K272:K273" si="324">K271</f>
        <v>25</v>
      </c>
      <c r="L272" s="36">
        <f t="shared" ref="L272:L273" si="325">L271</f>
        <v>25</v>
      </c>
      <c r="M272" s="36">
        <f t="shared" ref="M272:M273" si="326">M271</f>
        <v>25</v>
      </c>
      <c r="N272" s="36">
        <f t="shared" ref="N272:AA273" si="327">N271</f>
        <v>0</v>
      </c>
      <c r="O272" s="36">
        <f t="shared" si="327"/>
        <v>0</v>
      </c>
      <c r="P272" s="36">
        <f t="shared" si="327"/>
        <v>0</v>
      </c>
      <c r="Q272" s="36">
        <f t="shared" si="327"/>
        <v>0</v>
      </c>
      <c r="R272" s="36">
        <f t="shared" si="327"/>
        <v>0</v>
      </c>
      <c r="S272" s="36">
        <f t="shared" si="327"/>
        <v>0</v>
      </c>
      <c r="T272" s="36">
        <f t="shared" si="327"/>
        <v>8760</v>
      </c>
      <c r="U272" s="36">
        <f t="shared" si="327"/>
        <v>0</v>
      </c>
      <c r="V272" s="36">
        <f t="shared" si="327"/>
        <v>0</v>
      </c>
      <c r="W272" s="36">
        <f t="shared" si="327"/>
        <v>0</v>
      </c>
      <c r="X272" s="36">
        <f t="shared" si="327"/>
        <v>0</v>
      </c>
      <c r="Y272" s="36">
        <f t="shared" si="327"/>
        <v>0</v>
      </c>
      <c r="Z272" s="36">
        <f t="shared" si="327"/>
        <v>0</v>
      </c>
      <c r="AA272" s="36">
        <f t="shared" si="327"/>
        <v>0</v>
      </c>
      <c r="AB272" s="29"/>
    </row>
    <row r="273" spans="1:28">
      <c r="A273" s="7" t="str">
        <f t="shared" si="319"/>
        <v>非BERS適用分區而供其他綠建築手冊引用之暫行EUI基準(無氣候分區、單一中位值基準)</v>
      </c>
      <c r="B273" s="34" t="str">
        <f t="shared" si="319"/>
        <v>NB14</v>
      </c>
      <c r="C273" s="34" t="s">
        <v>383</v>
      </c>
      <c r="D273" s="34" t="str">
        <f t="shared" si="291"/>
        <v>NB14max</v>
      </c>
      <c r="E273" s="37" t="str">
        <f t="shared" si="320"/>
        <v>無空調通風型專用倉儲</v>
      </c>
      <c r="F273" s="36">
        <f t="shared" si="321"/>
        <v>25</v>
      </c>
      <c r="G273" s="36">
        <f t="shared" si="321"/>
        <v>25</v>
      </c>
      <c r="H273" s="36">
        <f t="shared" si="321"/>
        <v>25</v>
      </c>
      <c r="I273" s="36">
        <f t="shared" si="322"/>
        <v>25</v>
      </c>
      <c r="J273" s="36">
        <f t="shared" si="323"/>
        <v>25</v>
      </c>
      <c r="K273" s="36">
        <f t="shared" si="324"/>
        <v>25</v>
      </c>
      <c r="L273" s="36">
        <f t="shared" si="325"/>
        <v>25</v>
      </c>
      <c r="M273" s="36">
        <f t="shared" si="326"/>
        <v>25</v>
      </c>
      <c r="N273" s="36">
        <f t="shared" si="327"/>
        <v>0</v>
      </c>
      <c r="O273" s="36">
        <f t="shared" si="327"/>
        <v>0</v>
      </c>
      <c r="P273" s="36">
        <f t="shared" si="327"/>
        <v>0</v>
      </c>
      <c r="Q273" s="36">
        <f t="shared" si="327"/>
        <v>0</v>
      </c>
      <c r="R273" s="36">
        <f t="shared" si="327"/>
        <v>0</v>
      </c>
      <c r="S273" s="36">
        <f t="shared" si="327"/>
        <v>0</v>
      </c>
      <c r="T273" s="36">
        <f t="shared" si="327"/>
        <v>8760</v>
      </c>
      <c r="U273" s="36">
        <f t="shared" si="327"/>
        <v>0</v>
      </c>
      <c r="V273" s="36">
        <f t="shared" si="327"/>
        <v>0</v>
      </c>
      <c r="W273" s="36">
        <f t="shared" si="327"/>
        <v>0</v>
      </c>
      <c r="X273" s="36">
        <f t="shared" si="327"/>
        <v>0</v>
      </c>
      <c r="Y273" s="36">
        <f t="shared" si="327"/>
        <v>0</v>
      </c>
      <c r="Z273" s="36">
        <f t="shared" si="327"/>
        <v>0</v>
      </c>
      <c r="AA273" s="36">
        <f t="shared" si="327"/>
        <v>0</v>
      </c>
      <c r="AB273" s="29"/>
    </row>
    <row r="274" spans="1:28">
      <c r="A274" s="7" t="s">
        <v>338</v>
      </c>
      <c r="B274" s="34" t="s">
        <v>333</v>
      </c>
      <c r="C274" s="34" t="s">
        <v>381</v>
      </c>
      <c r="D274" s="34" t="str">
        <f t="shared" si="291"/>
        <v>NB15min</v>
      </c>
      <c r="E274" s="43" t="s">
        <v>362</v>
      </c>
      <c r="F274" s="36">
        <v>80</v>
      </c>
      <c r="G274" s="36">
        <v>80</v>
      </c>
      <c r="H274" s="36">
        <v>80</v>
      </c>
      <c r="I274" s="36">
        <v>80</v>
      </c>
      <c r="J274" s="36">
        <v>80</v>
      </c>
      <c r="K274" s="36">
        <v>80</v>
      </c>
      <c r="L274" s="36">
        <v>80</v>
      </c>
      <c r="M274" s="36">
        <v>80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8760</v>
      </c>
      <c r="U274" s="36">
        <v>8760</v>
      </c>
      <c r="V274" s="36">
        <v>8760</v>
      </c>
      <c r="W274" s="36">
        <v>8760</v>
      </c>
      <c r="X274" s="36">
        <v>8760</v>
      </c>
      <c r="Y274" s="36">
        <v>8760</v>
      </c>
      <c r="Z274" s="36">
        <v>8760</v>
      </c>
      <c r="AA274" s="36">
        <v>0</v>
      </c>
      <c r="AB274" s="29"/>
    </row>
    <row r="275" spans="1:28">
      <c r="A275" s="7" t="str">
        <f t="shared" ref="A275:B276" si="328">A274</f>
        <v>非BERS適用分區而供其他綠建築手冊引用之暫行EUI基準(無氣候分區、單一中位值基準)</v>
      </c>
      <c r="B275" s="34" t="str">
        <f t="shared" si="328"/>
        <v>NB15</v>
      </c>
      <c r="C275" s="34" t="s">
        <v>382</v>
      </c>
      <c r="D275" s="34" t="str">
        <f t="shared" si="291"/>
        <v>NB15m</v>
      </c>
      <c r="E275" s="37" t="str">
        <f t="shared" ref="E275:E276" si="329">E274</f>
        <v>空調型專用倉儲</v>
      </c>
      <c r="F275" s="36">
        <f t="shared" ref="F275:H276" si="330">F274</f>
        <v>80</v>
      </c>
      <c r="G275" s="36">
        <f t="shared" si="330"/>
        <v>80</v>
      </c>
      <c r="H275" s="36">
        <f t="shared" si="330"/>
        <v>80</v>
      </c>
      <c r="I275" s="36">
        <f t="shared" ref="I275:I276" si="331">I274</f>
        <v>80</v>
      </c>
      <c r="J275" s="36">
        <f t="shared" ref="J275:J276" si="332">J274</f>
        <v>80</v>
      </c>
      <c r="K275" s="36">
        <f t="shared" ref="K275:K276" si="333">K274</f>
        <v>80</v>
      </c>
      <c r="L275" s="36">
        <f t="shared" ref="L275:L276" si="334">L274</f>
        <v>80</v>
      </c>
      <c r="M275" s="36">
        <f t="shared" ref="M275:M276" si="335">M274</f>
        <v>80</v>
      </c>
      <c r="N275" s="36">
        <f t="shared" ref="N275:AA276" si="336">N274</f>
        <v>0</v>
      </c>
      <c r="O275" s="36">
        <f t="shared" si="336"/>
        <v>0</v>
      </c>
      <c r="P275" s="36">
        <f t="shared" si="336"/>
        <v>0</v>
      </c>
      <c r="Q275" s="36">
        <f t="shared" si="336"/>
        <v>0</v>
      </c>
      <c r="R275" s="36">
        <f t="shared" si="336"/>
        <v>0</v>
      </c>
      <c r="S275" s="36">
        <f t="shared" si="336"/>
        <v>0</v>
      </c>
      <c r="T275" s="36">
        <f t="shared" si="336"/>
        <v>8760</v>
      </c>
      <c r="U275" s="36">
        <f t="shared" si="336"/>
        <v>8760</v>
      </c>
      <c r="V275" s="36">
        <f t="shared" si="336"/>
        <v>8760</v>
      </c>
      <c r="W275" s="36">
        <f t="shared" si="336"/>
        <v>8760</v>
      </c>
      <c r="X275" s="36">
        <f t="shared" si="336"/>
        <v>8760</v>
      </c>
      <c r="Y275" s="36">
        <f t="shared" si="336"/>
        <v>8760</v>
      </c>
      <c r="Z275" s="36">
        <f t="shared" si="336"/>
        <v>8760</v>
      </c>
      <c r="AA275" s="36">
        <f t="shared" si="336"/>
        <v>0</v>
      </c>
      <c r="AB275" s="29"/>
    </row>
    <row r="276" spans="1:28">
      <c r="A276" s="7" t="str">
        <f t="shared" si="328"/>
        <v>非BERS適用分區而供其他綠建築手冊引用之暫行EUI基準(無氣候分區、單一中位值基準)</v>
      </c>
      <c r="B276" s="34" t="str">
        <f t="shared" si="328"/>
        <v>NB15</v>
      </c>
      <c r="C276" s="34" t="s">
        <v>383</v>
      </c>
      <c r="D276" s="34" t="str">
        <f t="shared" si="291"/>
        <v>NB15max</v>
      </c>
      <c r="E276" s="37" t="str">
        <f t="shared" si="329"/>
        <v>空調型專用倉儲</v>
      </c>
      <c r="F276" s="36">
        <f t="shared" si="330"/>
        <v>80</v>
      </c>
      <c r="G276" s="36">
        <f t="shared" si="330"/>
        <v>80</v>
      </c>
      <c r="H276" s="36">
        <f t="shared" si="330"/>
        <v>80</v>
      </c>
      <c r="I276" s="36">
        <f t="shared" si="331"/>
        <v>80</v>
      </c>
      <c r="J276" s="36">
        <f t="shared" si="332"/>
        <v>80</v>
      </c>
      <c r="K276" s="36">
        <f t="shared" si="333"/>
        <v>80</v>
      </c>
      <c r="L276" s="36">
        <f t="shared" si="334"/>
        <v>80</v>
      </c>
      <c r="M276" s="36">
        <f t="shared" si="335"/>
        <v>80</v>
      </c>
      <c r="N276" s="36">
        <f t="shared" si="336"/>
        <v>0</v>
      </c>
      <c r="O276" s="36">
        <f t="shared" si="336"/>
        <v>0</v>
      </c>
      <c r="P276" s="36">
        <f t="shared" si="336"/>
        <v>0</v>
      </c>
      <c r="Q276" s="36">
        <f t="shared" si="336"/>
        <v>0</v>
      </c>
      <c r="R276" s="36">
        <f t="shared" si="336"/>
        <v>0</v>
      </c>
      <c r="S276" s="36">
        <f t="shared" si="336"/>
        <v>0</v>
      </c>
      <c r="T276" s="36">
        <f t="shared" si="336"/>
        <v>8760</v>
      </c>
      <c r="U276" s="36">
        <f t="shared" si="336"/>
        <v>8760</v>
      </c>
      <c r="V276" s="36">
        <f t="shared" si="336"/>
        <v>8760</v>
      </c>
      <c r="W276" s="36">
        <f t="shared" si="336"/>
        <v>8760</v>
      </c>
      <c r="X276" s="36">
        <f t="shared" si="336"/>
        <v>8760</v>
      </c>
      <c r="Y276" s="36">
        <f t="shared" si="336"/>
        <v>8760</v>
      </c>
      <c r="Z276" s="36">
        <f t="shared" si="336"/>
        <v>8760</v>
      </c>
      <c r="AA276" s="36">
        <f t="shared" si="336"/>
        <v>0</v>
      </c>
      <c r="AB276" s="29"/>
    </row>
    <row r="277" spans="1:28"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9"/>
    </row>
  </sheetData>
  <autoFilter ref="A3:AA3" xr:uid="{F2A4488A-1038-EC4A-AEC6-D6F1DB231E7C}"/>
  <mergeCells count="19">
    <mergeCell ref="R1:R3"/>
    <mergeCell ref="S1:S3"/>
    <mergeCell ref="T1:T3"/>
    <mergeCell ref="AA1:AA3"/>
    <mergeCell ref="U1:Z1"/>
    <mergeCell ref="U2:W2"/>
    <mergeCell ref="X2:Z2"/>
    <mergeCell ref="Q1:Q3"/>
    <mergeCell ref="A1:A3"/>
    <mergeCell ref="E1:E3"/>
    <mergeCell ref="N1:N3"/>
    <mergeCell ref="O1:O3"/>
    <mergeCell ref="P1:P3"/>
    <mergeCell ref="H1:M1"/>
    <mergeCell ref="K2:M2"/>
    <mergeCell ref="H2:J2"/>
    <mergeCell ref="G1:G3"/>
    <mergeCell ref="F1:F3"/>
    <mergeCell ref="B1:D3"/>
  </mergeCells>
  <phoneticPr fontId="7" type="noConversion"/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4B401-B25D-394A-8B41-3084484ECEA3}">
  <sheetPr>
    <tabColor theme="8" tint="0.79998168889431442"/>
  </sheetPr>
  <dimension ref="A1:D122"/>
  <sheetViews>
    <sheetView topLeftCell="A83" workbookViewId="0">
      <selection activeCell="C88" sqref="C88"/>
    </sheetView>
  </sheetViews>
  <sheetFormatPr baseColWidth="10" defaultRowHeight="16"/>
  <cols>
    <col min="1" max="1" width="91.42578125" bestFit="1" customWidth="1"/>
  </cols>
  <sheetData>
    <row r="1" spans="1:1">
      <c r="A1" t="s">
        <v>1012</v>
      </c>
    </row>
    <row r="2" spans="1:1">
      <c r="A2" t="s">
        <v>1013</v>
      </c>
    </row>
    <row r="3" spans="1:1">
      <c r="A3" t="s">
        <v>1014</v>
      </c>
    </row>
    <row r="4" spans="1:1">
      <c r="A4" t="s">
        <v>1015</v>
      </c>
    </row>
    <row r="5" spans="1:1">
      <c r="A5" t="s">
        <v>1016</v>
      </c>
    </row>
    <row r="6" spans="1:1">
      <c r="A6" t="s">
        <v>1017</v>
      </c>
    </row>
    <row r="7" spans="1:1">
      <c r="A7" t="s">
        <v>1018</v>
      </c>
    </row>
    <row r="8" spans="1:1">
      <c r="A8" t="s">
        <v>1019</v>
      </c>
    </row>
    <row r="9" spans="1:1">
      <c r="A9" t="s">
        <v>1020</v>
      </c>
    </row>
    <row r="10" spans="1:1">
      <c r="A10" t="s">
        <v>1021</v>
      </c>
    </row>
    <row r="11" spans="1:1">
      <c r="A11" t="s">
        <v>1022</v>
      </c>
    </row>
    <row r="12" spans="1:1">
      <c r="A12" t="s">
        <v>1023</v>
      </c>
    </row>
    <row r="13" spans="1:1">
      <c r="A13" t="s">
        <v>1024</v>
      </c>
    </row>
    <row r="14" spans="1:1">
      <c r="A14" t="s">
        <v>1025</v>
      </c>
    </row>
    <row r="15" spans="1:1">
      <c r="A15" t="s">
        <v>1026</v>
      </c>
    </row>
    <row r="16" spans="1:1">
      <c r="A16" t="s">
        <v>1027</v>
      </c>
    </row>
    <row r="17" spans="1:1">
      <c r="A17" t="s">
        <v>1028</v>
      </c>
    </row>
    <row r="18" spans="1:1">
      <c r="A18" t="s">
        <v>1029</v>
      </c>
    </row>
    <row r="19" spans="1:1">
      <c r="A19" t="s">
        <v>1030</v>
      </c>
    </row>
    <row r="20" spans="1:1">
      <c r="A20" t="s">
        <v>1031</v>
      </c>
    </row>
    <row r="21" spans="1:1">
      <c r="A21" t="s">
        <v>1032</v>
      </c>
    </row>
    <row r="22" spans="1:1">
      <c r="A22" t="s">
        <v>1033</v>
      </c>
    </row>
    <row r="23" spans="1:1">
      <c r="A23" t="s">
        <v>1034</v>
      </c>
    </row>
    <row r="24" spans="1:1">
      <c r="A24" t="s">
        <v>1035</v>
      </c>
    </row>
    <row r="25" spans="1:1">
      <c r="A25" t="s">
        <v>1036</v>
      </c>
    </row>
    <row r="26" spans="1:1">
      <c r="A26" t="s">
        <v>1037</v>
      </c>
    </row>
    <row r="27" spans="1:1">
      <c r="A27" t="s">
        <v>1038</v>
      </c>
    </row>
    <row r="28" spans="1:1">
      <c r="A28" t="s">
        <v>1039</v>
      </c>
    </row>
    <row r="29" spans="1:1">
      <c r="A29" t="s">
        <v>1040</v>
      </c>
    </row>
    <row r="30" spans="1:1">
      <c r="A30" t="s">
        <v>1041</v>
      </c>
    </row>
    <row r="31" spans="1:1">
      <c r="A31" t="s">
        <v>1042</v>
      </c>
    </row>
    <row r="32" spans="1:1">
      <c r="A32" t="s">
        <v>1043</v>
      </c>
    </row>
    <row r="33" spans="1:1">
      <c r="A33" t="s">
        <v>1044</v>
      </c>
    </row>
    <row r="34" spans="1:1">
      <c r="A34" t="s">
        <v>1045</v>
      </c>
    </row>
    <row r="35" spans="1:1">
      <c r="A35" t="s">
        <v>1046</v>
      </c>
    </row>
    <row r="36" spans="1:1">
      <c r="A36" t="s">
        <v>1047</v>
      </c>
    </row>
    <row r="37" spans="1:1">
      <c r="A37" t="s">
        <v>1048</v>
      </c>
    </row>
    <row r="38" spans="1:1">
      <c r="A38" t="s">
        <v>1049</v>
      </c>
    </row>
    <row r="39" spans="1:1">
      <c r="A39" t="s">
        <v>1050</v>
      </c>
    </row>
    <row r="40" spans="1:1">
      <c r="A40" t="s">
        <v>1051</v>
      </c>
    </row>
    <row r="41" spans="1:1">
      <c r="A41" t="s">
        <v>1052</v>
      </c>
    </row>
    <row r="42" spans="1:1">
      <c r="A42" t="s">
        <v>1053</v>
      </c>
    </row>
    <row r="43" spans="1:1">
      <c r="A43" t="s">
        <v>1054</v>
      </c>
    </row>
    <row r="44" spans="1:1">
      <c r="A44" t="s">
        <v>1055</v>
      </c>
    </row>
    <row r="45" spans="1:1">
      <c r="A45" t="s">
        <v>1056</v>
      </c>
    </row>
    <row r="46" spans="1:1">
      <c r="A46" t="s">
        <v>1057</v>
      </c>
    </row>
    <row r="47" spans="1:1">
      <c r="A47" t="s">
        <v>1058</v>
      </c>
    </row>
    <row r="48" spans="1:1">
      <c r="A48" t="s">
        <v>1059</v>
      </c>
    </row>
    <row r="49" spans="1:1">
      <c r="A49" t="s">
        <v>1060</v>
      </c>
    </row>
    <row r="50" spans="1:1">
      <c r="A50" t="s">
        <v>1061</v>
      </c>
    </row>
    <row r="51" spans="1:1">
      <c r="A51" t="s">
        <v>1062</v>
      </c>
    </row>
    <row r="52" spans="1:1">
      <c r="A52" t="s">
        <v>1063</v>
      </c>
    </row>
    <row r="53" spans="1:1">
      <c r="A53" t="s">
        <v>1064</v>
      </c>
    </row>
    <row r="54" spans="1:1">
      <c r="A54" t="s">
        <v>1065</v>
      </c>
    </row>
    <row r="55" spans="1:1">
      <c r="A55" t="s">
        <v>1066</v>
      </c>
    </row>
    <row r="56" spans="1:1">
      <c r="A56" t="s">
        <v>1067</v>
      </c>
    </row>
    <row r="57" spans="1:1">
      <c r="A57" t="s">
        <v>1068</v>
      </c>
    </row>
    <row r="58" spans="1:1">
      <c r="A58" t="s">
        <v>1069</v>
      </c>
    </row>
    <row r="59" spans="1:1">
      <c r="A59" t="s">
        <v>1070</v>
      </c>
    </row>
    <row r="60" spans="1:1">
      <c r="A60" t="s">
        <v>1071</v>
      </c>
    </row>
    <row r="61" spans="1:1">
      <c r="A61" t="s">
        <v>1072</v>
      </c>
    </row>
    <row r="62" spans="1:1">
      <c r="A62" t="s">
        <v>1073</v>
      </c>
    </row>
    <row r="63" spans="1:1">
      <c r="A63" t="s">
        <v>1074</v>
      </c>
    </row>
    <row r="64" spans="1:1">
      <c r="A64" t="s">
        <v>1075</v>
      </c>
    </row>
    <row r="65" spans="1:1">
      <c r="A65" t="s">
        <v>1076</v>
      </c>
    </row>
    <row r="66" spans="1:1">
      <c r="A66" t="s">
        <v>1077</v>
      </c>
    </row>
    <row r="67" spans="1:1">
      <c r="A67" t="s">
        <v>1078</v>
      </c>
    </row>
    <row r="68" spans="1:1">
      <c r="A68" t="s">
        <v>1079</v>
      </c>
    </row>
    <row r="69" spans="1:1">
      <c r="A69" t="s">
        <v>1080</v>
      </c>
    </row>
    <row r="70" spans="1:1">
      <c r="A70" t="s">
        <v>1081</v>
      </c>
    </row>
    <row r="71" spans="1:1">
      <c r="A71" t="s">
        <v>1082</v>
      </c>
    </row>
    <row r="72" spans="1:1">
      <c r="A72" t="s">
        <v>1083</v>
      </c>
    </row>
    <row r="73" spans="1:1">
      <c r="A73" t="s">
        <v>1084</v>
      </c>
    </row>
    <row r="74" spans="1:1">
      <c r="A74" t="s">
        <v>1085</v>
      </c>
    </row>
    <row r="75" spans="1:1">
      <c r="A75" t="s">
        <v>1086</v>
      </c>
    </row>
    <row r="76" spans="1:1">
      <c r="A76" t="s">
        <v>1087</v>
      </c>
    </row>
    <row r="77" spans="1:1">
      <c r="A77" t="s">
        <v>1088</v>
      </c>
    </row>
    <row r="78" spans="1:1">
      <c r="A78" t="s">
        <v>1089</v>
      </c>
    </row>
    <row r="79" spans="1:1">
      <c r="A79" t="s">
        <v>1090</v>
      </c>
    </row>
    <row r="80" spans="1:1">
      <c r="A80" t="s">
        <v>1091</v>
      </c>
    </row>
    <row r="81" spans="1:4">
      <c r="A81" t="s">
        <v>1092</v>
      </c>
    </row>
    <row r="82" spans="1:4">
      <c r="A82" t="s">
        <v>1093</v>
      </c>
    </row>
    <row r="83" spans="1:4">
      <c r="A83" t="s">
        <v>1094</v>
      </c>
    </row>
    <row r="84" spans="1:4">
      <c r="A84" t="s">
        <v>1095</v>
      </c>
    </row>
    <row r="85" spans="1:4">
      <c r="A85" t="s">
        <v>1096</v>
      </c>
    </row>
    <row r="86" spans="1:4">
      <c r="A86" t="s">
        <v>1097</v>
      </c>
    </row>
    <row r="87" spans="1:4">
      <c r="A87" t="s">
        <v>1098</v>
      </c>
    </row>
    <row r="88" spans="1:4">
      <c r="A88" t="s">
        <v>1099</v>
      </c>
    </row>
    <row r="89" spans="1:4">
      <c r="A89" t="s">
        <v>1100</v>
      </c>
    </row>
    <row r="90" spans="1:4">
      <c r="A90" t="s">
        <v>1101</v>
      </c>
    </row>
    <row r="91" spans="1:4">
      <c r="A91" t="s">
        <v>1102</v>
      </c>
    </row>
    <row r="92" spans="1:4">
      <c r="A92" t="s">
        <v>1146</v>
      </c>
      <c r="D92" s="2"/>
    </row>
    <row r="93" spans="1:4">
      <c r="A93" t="s">
        <v>1147</v>
      </c>
      <c r="D93" s="2"/>
    </row>
    <row r="94" spans="1:4">
      <c r="A94" t="s">
        <v>1148</v>
      </c>
      <c r="D94" s="2"/>
    </row>
    <row r="95" spans="1:4">
      <c r="A95" t="s">
        <v>1149</v>
      </c>
      <c r="D95" s="2"/>
    </row>
    <row r="96" spans="1:4">
      <c r="A96" t="s">
        <v>1150</v>
      </c>
      <c r="D96" s="2"/>
    </row>
    <row r="97" spans="1:4">
      <c r="A97" t="s">
        <v>1151</v>
      </c>
      <c r="D97" s="2"/>
    </row>
    <row r="98" spans="1:4">
      <c r="A98" t="s">
        <v>1152</v>
      </c>
      <c r="D98" s="2"/>
    </row>
    <row r="99" spans="1:4">
      <c r="A99" t="s">
        <v>1153</v>
      </c>
      <c r="D99" s="2"/>
    </row>
    <row r="100" spans="1:4">
      <c r="A100" t="s">
        <v>1154</v>
      </c>
      <c r="D100" s="2"/>
    </row>
    <row r="101" spans="1:4">
      <c r="A101" t="s">
        <v>1155</v>
      </c>
      <c r="D101" s="2"/>
    </row>
    <row r="102" spans="1:4">
      <c r="A102" t="s">
        <v>1156</v>
      </c>
      <c r="D102" s="2"/>
    </row>
    <row r="103" spans="1:4">
      <c r="A103" t="s">
        <v>1157</v>
      </c>
      <c r="D103" s="2"/>
    </row>
    <row r="104" spans="1:4">
      <c r="A104" t="s">
        <v>1158</v>
      </c>
      <c r="D104" s="2"/>
    </row>
    <row r="105" spans="1:4">
      <c r="A105" t="s">
        <v>1159</v>
      </c>
      <c r="D105" s="2"/>
    </row>
    <row r="106" spans="1:4">
      <c r="A106" t="s">
        <v>1160</v>
      </c>
      <c r="D106" s="2"/>
    </row>
    <row r="107" spans="1:4">
      <c r="A107" t="s">
        <v>1161</v>
      </c>
      <c r="D107" s="2"/>
    </row>
    <row r="108" spans="1:4">
      <c r="A108" t="s">
        <v>1162</v>
      </c>
      <c r="D108" s="2"/>
    </row>
    <row r="109" spans="1:4">
      <c r="A109" t="s">
        <v>1163</v>
      </c>
      <c r="D109" s="2"/>
    </row>
    <row r="110" spans="1:4">
      <c r="A110" t="s">
        <v>1164</v>
      </c>
      <c r="D110" s="2"/>
    </row>
    <row r="111" spans="1:4">
      <c r="A111" t="s">
        <v>1165</v>
      </c>
      <c r="D111" s="2"/>
    </row>
    <row r="112" spans="1:4">
      <c r="A112" t="s">
        <v>1166</v>
      </c>
      <c r="D112" s="2"/>
    </row>
    <row r="113" spans="1:4">
      <c r="A113" t="s">
        <v>1167</v>
      </c>
      <c r="D113" s="2"/>
    </row>
    <row r="114" spans="1:4">
      <c r="A114" t="s">
        <v>1168</v>
      </c>
      <c r="D114" s="2"/>
    </row>
    <row r="115" spans="1:4">
      <c r="A115" t="s">
        <v>1103</v>
      </c>
      <c r="D115" s="2"/>
    </row>
    <row r="116" spans="1:4">
      <c r="A116" t="s">
        <v>1104</v>
      </c>
      <c r="D116" s="2"/>
    </row>
    <row r="117" spans="1:4">
      <c r="A117" t="s">
        <v>1105</v>
      </c>
      <c r="D117" s="2"/>
    </row>
    <row r="118" spans="1:4">
      <c r="A118" t="s">
        <v>1145</v>
      </c>
      <c r="D118" s="2"/>
    </row>
    <row r="119" spans="1:4">
      <c r="A119" t="s">
        <v>1107</v>
      </c>
      <c r="D119" s="2"/>
    </row>
    <row r="120" spans="1:4">
      <c r="A120" t="s">
        <v>1108</v>
      </c>
      <c r="D120" s="2"/>
    </row>
    <row r="121" spans="1:4">
      <c r="A121" t="s">
        <v>1109</v>
      </c>
      <c r="D121" s="2"/>
    </row>
    <row r="122" spans="1:4">
      <c r="A122" t="s">
        <v>1110</v>
      </c>
      <c r="D122" s="2"/>
    </row>
  </sheetData>
  <phoneticPr fontId="7" type="noConversion"/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2E5F9-ED9B-C248-9819-98AB4CDF995B}">
  <sheetPr>
    <tabColor theme="8" tint="0.79998168889431442"/>
  </sheetPr>
  <dimension ref="A1:F1048576"/>
  <sheetViews>
    <sheetView workbookViewId="0">
      <selection activeCell="A3" sqref="A3:XFD3"/>
    </sheetView>
  </sheetViews>
  <sheetFormatPr baseColWidth="10" defaultRowHeight="16"/>
  <cols>
    <col min="1" max="1" width="10.28515625" customWidth="1"/>
    <col min="2" max="2" width="8.140625" customWidth="1"/>
    <col min="3" max="3" width="36.28515625" bestFit="1" customWidth="1"/>
    <col min="4" max="4" width="30.7109375" bestFit="1" customWidth="1"/>
    <col min="5" max="5" width="9.5703125" bestFit="1" customWidth="1"/>
    <col min="6" max="6" width="24.85546875" customWidth="1"/>
  </cols>
  <sheetData>
    <row r="1" spans="1:6">
      <c r="A1" s="249" t="s">
        <v>441</v>
      </c>
      <c r="B1" s="249"/>
      <c r="C1" s="249"/>
      <c r="D1" s="249"/>
      <c r="E1" s="249"/>
      <c r="F1" s="249" t="s">
        <v>464</v>
      </c>
    </row>
    <row r="2" spans="1:6">
      <c r="A2" s="77" t="s">
        <v>459</v>
      </c>
      <c r="B2" s="77" t="s">
        <v>460</v>
      </c>
      <c r="C2" s="77" t="s">
        <v>461</v>
      </c>
      <c r="D2" s="77" t="s">
        <v>462</v>
      </c>
      <c r="E2" s="77" t="s">
        <v>463</v>
      </c>
      <c r="F2" s="249"/>
    </row>
    <row r="3" spans="1:6">
      <c r="A3" t="s">
        <v>444</v>
      </c>
      <c r="B3" s="2" t="s">
        <v>1130</v>
      </c>
      <c r="C3" t="s">
        <v>455</v>
      </c>
      <c r="D3" t="s">
        <v>443</v>
      </c>
      <c r="E3" s="2" t="s">
        <v>447</v>
      </c>
      <c r="F3" s="250">
        <v>330</v>
      </c>
    </row>
    <row r="4" spans="1:6">
      <c r="A4" t="s">
        <v>444</v>
      </c>
      <c r="B4" s="2" t="s">
        <v>1131</v>
      </c>
      <c r="C4" t="s">
        <v>455</v>
      </c>
      <c r="D4" s="76" t="s">
        <v>445</v>
      </c>
      <c r="E4" s="2" t="s">
        <v>448</v>
      </c>
      <c r="F4" s="250">
        <v>250</v>
      </c>
    </row>
    <row r="5" spans="1:6">
      <c r="A5" t="s">
        <v>444</v>
      </c>
      <c r="B5" s="2" t="s">
        <v>1132</v>
      </c>
      <c r="C5" t="s">
        <v>456</v>
      </c>
      <c r="D5" t="s">
        <v>443</v>
      </c>
      <c r="E5" s="2" t="s">
        <v>449</v>
      </c>
      <c r="F5" s="250">
        <v>665</v>
      </c>
    </row>
    <row r="6" spans="1:6">
      <c r="A6" t="s">
        <v>444</v>
      </c>
      <c r="B6" s="2" t="s">
        <v>1133</v>
      </c>
      <c r="C6" t="s">
        <v>456</v>
      </c>
      <c r="D6" s="76" t="s">
        <v>445</v>
      </c>
      <c r="E6" s="2" t="s">
        <v>450</v>
      </c>
      <c r="F6" s="250">
        <v>530</v>
      </c>
    </row>
    <row r="7" spans="1:6">
      <c r="A7" t="s">
        <v>444</v>
      </c>
      <c r="B7" s="2" t="s">
        <v>1134</v>
      </c>
      <c r="C7" t="s">
        <v>457</v>
      </c>
      <c r="D7" t="s">
        <v>443</v>
      </c>
      <c r="E7" s="2" t="s">
        <v>451</v>
      </c>
      <c r="F7" s="250">
        <v>1318</v>
      </c>
    </row>
    <row r="8" spans="1:6">
      <c r="A8" t="s">
        <v>444</v>
      </c>
      <c r="B8" s="2" t="s">
        <v>1135</v>
      </c>
      <c r="C8" t="s">
        <v>457</v>
      </c>
      <c r="D8" s="76" t="s">
        <v>445</v>
      </c>
      <c r="E8" s="2" t="s">
        <v>452</v>
      </c>
      <c r="F8" s="250">
        <v>900</v>
      </c>
    </row>
    <row r="9" spans="1:6">
      <c r="A9" t="s">
        <v>444</v>
      </c>
      <c r="B9" s="2" t="s">
        <v>1136</v>
      </c>
      <c r="C9" t="s">
        <v>458</v>
      </c>
      <c r="D9" t="s">
        <v>443</v>
      </c>
      <c r="E9" s="2" t="s">
        <v>453</v>
      </c>
      <c r="F9" s="250">
        <v>989</v>
      </c>
    </row>
    <row r="10" spans="1:6">
      <c r="A10" t="s">
        <v>444</v>
      </c>
      <c r="B10" s="2" t="s">
        <v>1137</v>
      </c>
      <c r="C10" t="s">
        <v>458</v>
      </c>
      <c r="D10" s="76" t="s">
        <v>445</v>
      </c>
      <c r="E10" s="2" t="s">
        <v>454</v>
      </c>
      <c r="F10" s="250">
        <v>675</v>
      </c>
    </row>
    <row r="11" spans="1:6">
      <c r="A11" t="s">
        <v>444</v>
      </c>
      <c r="B11" s="2" t="s">
        <v>465</v>
      </c>
      <c r="C11" t="s">
        <v>466</v>
      </c>
      <c r="D11" t="s">
        <v>466</v>
      </c>
      <c r="E11" s="2" t="s">
        <v>465</v>
      </c>
      <c r="F11" s="250">
        <v>387</v>
      </c>
    </row>
    <row r="12" spans="1:6">
      <c r="A12" t="s">
        <v>444</v>
      </c>
      <c r="B12" s="2" t="s">
        <v>469</v>
      </c>
      <c r="C12" t="s">
        <v>467</v>
      </c>
      <c r="D12" t="s">
        <v>467</v>
      </c>
      <c r="E12" s="2" t="s">
        <v>469</v>
      </c>
      <c r="F12" s="250">
        <v>1500</v>
      </c>
    </row>
    <row r="13" spans="1:6">
      <c r="A13" t="s">
        <v>444</v>
      </c>
      <c r="B13" s="2" t="s">
        <v>470</v>
      </c>
      <c r="C13" t="s">
        <v>468</v>
      </c>
      <c r="D13" t="s">
        <v>468</v>
      </c>
      <c r="E13" s="2" t="s">
        <v>470</v>
      </c>
      <c r="F13" s="250">
        <v>530</v>
      </c>
    </row>
    <row r="14" spans="1:6">
      <c r="A14" t="s">
        <v>471</v>
      </c>
      <c r="B14" s="2" t="s">
        <v>1138</v>
      </c>
      <c r="C14" t="s">
        <v>472</v>
      </c>
      <c r="D14" t="s">
        <v>475</v>
      </c>
      <c r="E14" s="2" t="s">
        <v>473</v>
      </c>
      <c r="F14" s="251">
        <f>填表!X3*5.85*365*填表!X4*2/100</f>
        <v>0</v>
      </c>
    </row>
    <row r="15" spans="1:6">
      <c r="A15" t="s">
        <v>471</v>
      </c>
      <c r="B15" s="2" t="s">
        <v>1139</v>
      </c>
      <c r="C15" t="s">
        <v>472</v>
      </c>
      <c r="D15" t="s">
        <v>476</v>
      </c>
      <c r="E15" s="2" t="s">
        <v>473</v>
      </c>
      <c r="F15" s="251">
        <f>填表!X3*3.85*365*1.5*填表!X4/100</f>
        <v>0</v>
      </c>
    </row>
    <row r="16" spans="1:6">
      <c r="A16" t="s">
        <v>471</v>
      </c>
      <c r="B16" s="2" t="s">
        <v>1140</v>
      </c>
      <c r="C16" t="s">
        <v>472</v>
      </c>
      <c r="D16" t="s">
        <v>477</v>
      </c>
      <c r="E16" s="2" t="s">
        <v>473</v>
      </c>
      <c r="F16" s="252">
        <f>0.09*2*365*0.7*1.5</f>
        <v>68.984999999999999</v>
      </c>
    </row>
    <row r="17" spans="1:6">
      <c r="A17" t="s">
        <v>471</v>
      </c>
      <c r="B17" s="2" t="s">
        <v>474</v>
      </c>
      <c r="C17" t="s">
        <v>478</v>
      </c>
      <c r="D17" t="s">
        <v>478</v>
      </c>
      <c r="E17" s="2" t="s">
        <v>474</v>
      </c>
      <c r="F17" s="251">
        <f>填表!X5*0.93*365*1.5*填表!X6/100</f>
        <v>0</v>
      </c>
    </row>
    <row r="18" spans="1:6">
      <c r="A18" t="s">
        <v>360</v>
      </c>
      <c r="B18" s="2" t="s">
        <v>1142</v>
      </c>
      <c r="C18" t="s">
        <v>479</v>
      </c>
      <c r="D18" t="s">
        <v>483</v>
      </c>
      <c r="E18" s="2" t="s">
        <v>486</v>
      </c>
      <c r="F18" s="250">
        <v>26.7</v>
      </c>
    </row>
    <row r="19" spans="1:6">
      <c r="A19" t="s">
        <v>360</v>
      </c>
      <c r="B19" s="2" t="s">
        <v>1141</v>
      </c>
      <c r="C19" t="s">
        <v>479</v>
      </c>
      <c r="D19" t="s">
        <v>484</v>
      </c>
      <c r="E19" s="2" t="s">
        <v>487</v>
      </c>
      <c r="F19" s="250">
        <v>35.299999999999997</v>
      </c>
    </row>
    <row r="20" spans="1:6">
      <c r="A20" t="s">
        <v>360</v>
      </c>
      <c r="B20" s="2" t="s">
        <v>1143</v>
      </c>
      <c r="C20" t="s">
        <v>482</v>
      </c>
      <c r="D20" t="s">
        <v>483</v>
      </c>
      <c r="E20" s="2" t="s">
        <v>488</v>
      </c>
      <c r="F20" s="250">
        <v>21.3</v>
      </c>
    </row>
    <row r="21" spans="1:6">
      <c r="A21" t="s">
        <v>360</v>
      </c>
      <c r="B21" s="2" t="s">
        <v>1144</v>
      </c>
      <c r="C21" t="s">
        <v>482</v>
      </c>
      <c r="D21" t="s">
        <v>484</v>
      </c>
      <c r="E21" s="2" t="s">
        <v>489</v>
      </c>
      <c r="F21" s="250">
        <v>29.9</v>
      </c>
    </row>
    <row r="22" spans="1:6">
      <c r="A22" t="s">
        <v>360</v>
      </c>
      <c r="B22" s="2" t="s">
        <v>480</v>
      </c>
      <c r="C22" t="s">
        <v>481</v>
      </c>
      <c r="D22" t="s">
        <v>485</v>
      </c>
      <c r="E22" s="2" t="s">
        <v>480</v>
      </c>
      <c r="F22" s="250">
        <v>41.9</v>
      </c>
    </row>
    <row r="23" spans="1:6">
      <c r="A23" t="s">
        <v>510</v>
      </c>
      <c r="B23" s="2" t="s">
        <v>490</v>
      </c>
      <c r="C23" t="s">
        <v>508</v>
      </c>
      <c r="D23" t="s">
        <v>508</v>
      </c>
      <c r="E23" s="2" t="s">
        <v>490</v>
      </c>
      <c r="F23" s="250">
        <v>3.2</v>
      </c>
    </row>
    <row r="24" spans="1:6">
      <c r="A24" t="s">
        <v>510</v>
      </c>
      <c r="B24" s="2" t="s">
        <v>491</v>
      </c>
      <c r="C24" t="s">
        <v>509</v>
      </c>
      <c r="D24" t="s">
        <v>509</v>
      </c>
      <c r="E24" s="2" t="s">
        <v>491</v>
      </c>
      <c r="F24" s="250">
        <v>6.1</v>
      </c>
    </row>
    <row r="25" spans="1:6">
      <c r="A25" t="s">
        <v>510</v>
      </c>
      <c r="B25" s="2" t="s">
        <v>492</v>
      </c>
      <c r="C25" t="s">
        <v>507</v>
      </c>
      <c r="D25" t="s">
        <v>507</v>
      </c>
      <c r="E25" s="2" t="s">
        <v>492</v>
      </c>
      <c r="F25" s="250">
        <v>80</v>
      </c>
    </row>
    <row r="26" spans="1:6">
      <c r="A26" t="s">
        <v>506</v>
      </c>
      <c r="B26" s="2" t="s">
        <v>493</v>
      </c>
      <c r="C26" t="s">
        <v>506</v>
      </c>
      <c r="D26" t="s">
        <v>506</v>
      </c>
      <c r="E26" s="2" t="s">
        <v>493</v>
      </c>
      <c r="F26" s="250">
        <v>545</v>
      </c>
    </row>
    <row r="27" spans="1:6">
      <c r="A27" t="s">
        <v>505</v>
      </c>
      <c r="B27" s="2" t="s">
        <v>494</v>
      </c>
      <c r="C27" t="s">
        <v>505</v>
      </c>
      <c r="D27" t="s">
        <v>505</v>
      </c>
      <c r="E27" s="2" t="s">
        <v>494</v>
      </c>
      <c r="F27" s="250">
        <v>910</v>
      </c>
    </row>
    <row r="28" spans="1:6">
      <c r="A28" t="s">
        <v>504</v>
      </c>
      <c r="B28" s="2" t="s">
        <v>495</v>
      </c>
      <c r="C28" t="s">
        <v>504</v>
      </c>
      <c r="D28" t="s">
        <v>504</v>
      </c>
      <c r="E28" s="2" t="s">
        <v>495</v>
      </c>
      <c r="F28" s="252">
        <f>0.124*填表!X15</f>
        <v>0</v>
      </c>
    </row>
    <row r="29" spans="1:6">
      <c r="A29" t="s">
        <v>503</v>
      </c>
      <c r="B29" s="2" t="s">
        <v>496</v>
      </c>
      <c r="C29" t="s">
        <v>503</v>
      </c>
      <c r="D29" t="s">
        <v>503</v>
      </c>
      <c r="E29" s="2" t="s">
        <v>496</v>
      </c>
      <c r="F29" s="251">
        <f>2630*SUM(填表!AB3:AB9)+51*VLOOKUP(E29,免評估分區面積與年耗電量計算!A4:B15,2,FALSE)</f>
        <v>6273</v>
      </c>
    </row>
    <row r="30" spans="1:6">
      <c r="A30" t="s">
        <v>502</v>
      </c>
      <c r="B30" s="2" t="s">
        <v>497</v>
      </c>
      <c r="C30" t="s">
        <v>502</v>
      </c>
      <c r="D30" t="s">
        <v>502</v>
      </c>
      <c r="E30" s="2" t="s">
        <v>497</v>
      </c>
      <c r="F30" s="250">
        <v>0</v>
      </c>
    </row>
    <row r="31" spans="1:6">
      <c r="A31" t="s">
        <v>501</v>
      </c>
      <c r="B31" s="2" t="s">
        <v>498</v>
      </c>
      <c r="C31" t="s">
        <v>501</v>
      </c>
      <c r="D31" t="s">
        <v>501</v>
      </c>
      <c r="E31" s="2" t="s">
        <v>498</v>
      </c>
      <c r="F31" s="250">
        <v>0</v>
      </c>
    </row>
    <row r="32" spans="1:6">
      <c r="A32" t="s">
        <v>499</v>
      </c>
      <c r="B32" s="2" t="s">
        <v>442</v>
      </c>
      <c r="C32" t="s">
        <v>499</v>
      </c>
      <c r="D32" t="s">
        <v>499</v>
      </c>
      <c r="E32" s="2" t="s">
        <v>442</v>
      </c>
      <c r="F32" s="250">
        <v>0</v>
      </c>
    </row>
    <row r="33" spans="1:6">
      <c r="A33" t="s">
        <v>500</v>
      </c>
      <c r="B33" s="2" t="s">
        <v>446</v>
      </c>
      <c r="C33" t="s">
        <v>500</v>
      </c>
      <c r="D33" t="s">
        <v>500</v>
      </c>
      <c r="E33" s="2" t="s">
        <v>446</v>
      </c>
      <c r="F33" s="250">
        <v>0</v>
      </c>
    </row>
    <row r="1048576" spans="2:2">
      <c r="B1048576" s="2"/>
    </row>
  </sheetData>
  <mergeCells count="2">
    <mergeCell ref="A1:E1"/>
    <mergeCell ref="F1:F2"/>
  </mergeCells>
  <phoneticPr fontId="7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具名範圍</vt:lpstr>
      </vt:variant>
      <vt:variant>
        <vt:i4>1</vt:i4>
      </vt:variant>
    </vt:vector>
  </HeadingPairs>
  <TitlesOfParts>
    <vt:vector size="14" baseType="lpstr">
      <vt:lpstr>文件檢核表</vt:lpstr>
      <vt:lpstr>填表</vt:lpstr>
      <vt:lpstr>BERSe評估總表</vt:lpstr>
      <vt:lpstr>電費單資料</vt:lpstr>
      <vt:lpstr>評估分區面積與中位值年耗電量計算</vt:lpstr>
      <vt:lpstr>免評估分區面積與年耗電量計算</vt:lpstr>
      <vt:lpstr>免評估設備</vt:lpstr>
      <vt:lpstr>SORi</vt:lpstr>
      <vt:lpstr>建築類型</vt:lpstr>
      <vt:lpstr>城鄉係數</vt:lpstr>
      <vt:lpstr>分區計算參數</vt:lpstr>
      <vt:lpstr>總區域類型</vt:lpstr>
      <vt:lpstr>免評估分區計算參數</vt:lpstr>
      <vt:lpstr>評估分區面積與中位值年耗電量計算!_Hlk126661633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產基會_吳昱杰</dc:creator>
  <cp:lastModifiedBy>產基會_吳昱杰</cp:lastModifiedBy>
  <dcterms:created xsi:type="dcterms:W3CDTF">2024-02-21T07:28:51Z</dcterms:created>
  <dcterms:modified xsi:type="dcterms:W3CDTF">2024-04-09T10:25:16Z</dcterms:modified>
</cp:coreProperties>
</file>